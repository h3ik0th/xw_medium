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_daten\z_BI\__Projects\x_xlwings\"/>
    </mc:Choice>
  </mc:AlternateContent>
  <xr:revisionPtr revIDLastSave="0" documentId="13_ncr:1_{DB5B8DFF-8520-405E-AB7D-01259069A81B}" xr6:coauthVersionLast="47" xr6:coauthVersionMax="47" xr10:uidLastSave="{00000000-0000-0000-0000-000000000000}"/>
  <bookViews>
    <workbookView xWindow="29205" yWindow="90" windowWidth="26280" windowHeight="15240" tabRatio="500" xr2:uid="{00000000-000D-0000-FFFF-FFFF00000000}"/>
  </bookViews>
  <sheets>
    <sheet name="Sheet1" sheetId="1" r:id="rId1"/>
    <sheet name="Sheet2" sheetId="3" r:id="rId2"/>
    <sheet name="_xlwings.conf" sheetId="2" r:id="rId3"/>
  </sheets>
  <functionGroups builtInGroupCount="19">
    <functionGroup name="xlwings"/>
  </functionGroups>
  <calcPr calcId="191029" calcMode="manual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ho_sq">
          <x14:argumentDescriptions count="1">
            <x14:argumentDescription index="0">Positional argument 1</x14:argumentDescription>
          </x14:argumentDescriptions>
        </x14:definedName>
        <x14:definedName name="py_cubed">
          <x14:argumentDescriptions count="1">
            <x14:argumentDescription index="0">Positional argument 1</x14:argumentDescription>
          </x14:argumentDescriptions>
        </x14:definedName>
        <x14:definedName name="py_describe">
          <x14:argumentDescriptions count="1">
            <x14:argumentDescription index="0">Positional argument 1</x14:argumentDescription>
          </x14:argumentDescriptions>
        </x14:definedName>
        <x14:definedName name="py_SARI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y_SARIMA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sq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5" i="1" l="1"/>
  <c r="F6" i="1" s="1"/>
  <c r="E13" i="1" a="1"/>
  <c r="C2" i="3"/>
  <c r="C3" i="3"/>
  <c r="C4" i="3"/>
  <c r="E13" i="1" l="1"/>
  <c r="F7" i="1"/>
  <c r="B2" i="3"/>
  <c r="B3" i="3" a="1"/>
  <c r="I1" i="1" a="1"/>
  <c r="B3" i="3" l="1"/>
  <c r="I1" i="1"/>
  <c r="B4" i="3"/>
  <c r="H1" i="1"/>
  <c r="E1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<sst xmlns="http://schemas.openxmlformats.org/spreadsheetml/2006/main" count="23" uniqueCount="23">
  <si>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</si>
  <si>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</si>
  <si>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</si>
  <si>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</si>
  <si>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</si>
  <si>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</si>
  <si>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</si>
  <si>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</si>
  <si>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</si>
  <si>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</si>
  <si>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</si>
  <si>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</si>
  <si>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</si>
  <si>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</si>
  <si>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</si>
  <si>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</t>
  </si>
  <si>
    <t>q</t>
  </si>
  <si>
    <t>P</t>
  </si>
  <si>
    <t>Q</t>
  </si>
  <si>
    <t>Date</t>
  </si>
  <si>
    <t>Pants</t>
  </si>
  <si>
    <t>Peaks</t>
  </si>
  <si>
    <t>SARIMAX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</si>
</sst>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_-;\-* #,##0_-;_-* &quot;-&quot;??_-;_-@_-"/>
    <numFmt numFmtId="165" formatCode="#,##0;\-#,##0;"/>
    <numFmt numFmtId="166" formatCode="#,##0_ ;\-#,##0\ "/>
    <numFmt numFmtId="167" formatCode="#,##0.000_ ;\-#,##0.000\ "/>
    <numFmt numFmtId="168" formatCode="_-* #,##0.0_-;\-* #,##0.0_-;_-* &quot;-&quot;??_-;_-@_-"/>
    <numFmt numFmtId="169" formatCode="_-* #,##0.000_-;\-* #,##0.000_-;_-* &quot;-&quot;??_-;_-@_-"/>
    <numFmt numFmtId="170" formatCode="#,##0.0;\-#,##0.0;"/>
    <numFmt numFmtId="171" formatCode="#,##0.0000;\-#,##0.0000;"/>
    <numFmt numFmtId="172" formatCode="yyyy/mm"/>
    <numFmt numFmtId="173" formatCode="0.0%"/>
  </numFmts>
  <fonts count="10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E6F9FE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4" fillId="0" borderId="0" xfId="0" applyFont="1"/>
    <xf numFmtId="164" fontId="4" fillId="0" borderId="0" xfId="4" applyNumberFormat="1" applyFont="1"/>
    <xf numFmtId="164" fontId="3" fillId="0" borderId="0" xfId="4" applyNumberFormat="1" applyFont="1"/>
    <xf numFmtId="164" fontId="0" fillId="0" borderId="0" xfId="4" applyNumberFormat="1" applyFont="1"/>
    <xf numFmtId="0" fontId="2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5" fillId="0" borderId="0" xfId="0" applyFont="1" applyAlignment="1">
      <alignment horizontal="center"/>
    </xf>
    <xf numFmtId="14" fontId="6" fillId="0" borderId="0" xfId="0" applyNumberFormat="1" applyFont="1"/>
    <xf numFmtId="0" fontId="6" fillId="0" borderId="0" xfId="0" applyFont="1"/>
    <xf numFmtId="43" fontId="0" fillId="0" borderId="0" xfId="4" applyFont="1"/>
    <xf numFmtId="0" fontId="3" fillId="2" borderId="1" xfId="0" applyFont="1" applyFill="1" applyBorder="1"/>
    <xf numFmtId="0" fontId="0" fillId="0" borderId="0" xfId="0" applyAlignment="1">
      <alignment horizontal="left"/>
    </xf>
    <xf numFmtId="43" fontId="3" fillId="0" borderId="1" xfId="4" applyFont="1" applyBorder="1"/>
    <xf numFmtId="0" fontId="7" fillId="2" borderId="1" xfId="0" applyNumberFormat="1" applyFont="1" applyFill="1" applyBorder="1"/>
    <xf numFmtId="0" fontId="7" fillId="2" borderId="1" xfId="0" applyFont="1" applyFill="1" applyBorder="1"/>
    <xf numFmtId="0" fontId="7" fillId="2" borderId="1" xfId="0" applyFont="1" applyFill="1" applyBorder="1" applyAlignment="1">
      <alignment horizontal="center"/>
    </xf>
    <xf numFmtId="0" fontId="0" fillId="0" borderId="0" xfId="0" applyFill="1"/>
    <xf numFmtId="0" fontId="7" fillId="0" borderId="1" xfId="0" applyNumberFormat="1" applyFont="1" applyFill="1" applyBorder="1"/>
    <xf numFmtId="0" fontId="3" fillId="0" borderId="1" xfId="0" applyNumberFormat="1" applyFont="1" applyFill="1" applyBorder="1"/>
    <xf numFmtId="0" fontId="4" fillId="0" borderId="0" xfId="0" applyFont="1" applyAlignment="1">
      <alignment horizontal="right"/>
    </xf>
    <xf numFmtId="0" fontId="7" fillId="2" borderId="1" xfId="0" applyNumberFormat="1" applyFont="1" applyFill="1" applyBorder="1" applyAlignment="1">
      <alignment horizontal="left" vertical="center"/>
    </xf>
    <xf numFmtId="0" fontId="7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65" fontId="3" fillId="0" borderId="1" xfId="0" applyNumberFormat="1" applyFont="1" applyFill="1" applyBorder="1"/>
    <xf numFmtId="0" fontId="7" fillId="4" borderId="1" xfId="0" applyNumberFormat="1" applyFont="1" applyFill="1" applyBorder="1"/>
    <xf numFmtId="0" fontId="3" fillId="2" borderId="1" xfId="0" applyNumberFormat="1" applyFont="1" applyFill="1" applyBorder="1"/>
    <xf numFmtId="169" fontId="7" fillId="4" borderId="1" xfId="4" applyNumberFormat="1" applyFont="1" applyFill="1" applyBorder="1"/>
    <xf numFmtId="0" fontId="7" fillId="2" borderId="1" xfId="0" applyFont="1" applyFill="1" applyBorder="1" applyAlignment="1">
      <alignment horizontal="left"/>
    </xf>
    <xf numFmtId="165" fontId="0" fillId="0" borderId="0" xfId="0" applyNumberFormat="1"/>
    <xf numFmtId="166" fontId="0" fillId="0" borderId="0" xfId="0" applyNumberFormat="1"/>
    <xf numFmtId="43" fontId="3" fillId="0" borderId="1" xfId="4" applyFont="1" applyFill="1" applyBorder="1" applyAlignment="1">
      <alignment horizontal="right"/>
    </xf>
    <xf numFmtId="43" fontId="3" fillId="4" borderId="1" xfId="4" applyFont="1" applyFill="1" applyBorder="1" applyAlignment="1">
      <alignment horizontal="right"/>
    </xf>
    <xf numFmtId="171" fontId="0" fillId="0" borderId="0" xfId="0" applyNumberFormat="1"/>
    <xf numFmtId="167" fontId="3" fillId="4" borderId="1" xfId="0" applyNumberFormat="1" applyFont="1" applyFill="1" applyBorder="1" applyAlignment="1">
      <alignment horizontal="right"/>
    </xf>
    <xf numFmtId="168" fontId="3" fillId="0" borderId="1" xfId="4" applyNumberFormat="1" applyFont="1" applyFill="1" applyBorder="1" applyAlignment="1">
      <alignment horizontal="right"/>
    </xf>
    <xf numFmtId="165" fontId="3" fillId="3" borderId="1" xfId="0" applyNumberFormat="1" applyFont="1" applyFill="1" applyBorder="1"/>
    <xf numFmtId="0" fontId="7" fillId="3" borderId="1" xfId="0" applyNumberFormat="1" applyFont="1" applyFill="1" applyBorder="1" applyAlignment="1">
      <alignment horizontal="center" vertical="center"/>
    </xf>
    <xf numFmtId="165" fontId="3" fillId="0" borderId="1" xfId="4" applyNumberFormat="1" applyFont="1" applyBorder="1"/>
    <xf numFmtId="170" fontId="3" fillId="0" borderId="1" xfId="4" applyNumberFormat="1" applyFont="1" applyBorder="1"/>
    <xf numFmtId="172" fontId="3" fillId="0" borderId="1" xfId="0" applyNumberFormat="1" applyFont="1" applyFill="1" applyBorder="1" applyAlignment="1">
      <alignment horizontal="left"/>
    </xf>
    <xf numFmtId="0" fontId="3" fillId="0" borderId="1" xfId="0" applyNumberFormat="1" applyFont="1" applyFill="1" applyBorder="1" applyAlignment="1">
      <alignment horizontal="left"/>
    </xf>
    <xf numFmtId="0" fontId="0" fillId="0" borderId="0" xfId="0" applyNumberFormat="1" applyFill="1" applyAlignment="1">
      <alignment horizontal="left"/>
    </xf>
    <xf numFmtId="173" fontId="3" fillId="0" borderId="1" xfId="0" applyNumberFormat="1" applyFont="1" applyFill="1" applyBorder="1"/>
    <xf numFmtId="0" fontId="8" fillId="2" borderId="1" xfId="0" applyFont="1" applyFill="1" applyBorder="1" applyAlignment="1">
      <alignment horizontal="center"/>
    </xf>
    <xf numFmtId="0" fontId="9" fillId="0" borderId="0" xfId="0" applyFont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colors>
    <mruColors>
      <color rgb="FFE6F9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sweatpants popularity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Sheet1!$K$1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Sheet1!$K$3:$K$140</c:f>
              <c:numCache>
                <c:formatCode>#,##0;\-#,##0;</c:formatCode>
                <c:ptCount val="138"/>
                <c:pt idx="0">
                  <c:v>14.331295464494126</c:v>
                </c:pt>
                <c:pt idx="1">
                  <c:v>13.498824986817935</c:v>
                </c:pt>
                <c:pt idx="2">
                  <c:v>12.581255173996626</c:v>
                </c:pt>
                <c:pt idx="3">
                  <c:v>9.8260482177640753</c:v>
                </c:pt>
                <c:pt idx="4">
                  <c:v>8.6824437683606259</c:v>
                </c:pt>
                <c:pt idx="5">
                  <c:v>8.4892781988091937</c:v>
                </c:pt>
                <c:pt idx="6">
                  <c:v>8.391585040727584</c:v>
                </c:pt>
                <c:pt idx="7">
                  <c:v>10.90653638399548</c:v>
                </c:pt>
                <c:pt idx="8">
                  <c:v>18.713237717878954</c:v>
                </c:pt>
                <c:pt idx="9">
                  <c:v>20.044986727765139</c:v>
                </c:pt>
                <c:pt idx="10">
                  <c:v>22.183841333776812</c:v>
                </c:pt>
                <c:pt idx="11">
                  <c:v>18.566616202669369</c:v>
                </c:pt>
                <c:pt idx="12">
                  <c:v>17.963980049200089</c:v>
                </c:pt>
                <c:pt idx="13">
                  <c:v>18.634044170948993</c:v>
                </c:pt>
                <c:pt idx="14">
                  <c:v>12.518163908763203</c:v>
                </c:pt>
                <c:pt idx="15">
                  <c:v>12.84263205608554</c:v>
                </c:pt>
                <c:pt idx="16">
                  <c:v>11.300553633652498</c:v>
                </c:pt>
                <c:pt idx="17">
                  <c:v>11.192095790202687</c:v>
                </c:pt>
                <c:pt idx="18">
                  <c:v>13.065979655563197</c:v>
                </c:pt>
                <c:pt idx="19">
                  <c:v>15.901989210442824</c:v>
                </c:pt>
                <c:pt idx="20">
                  <c:v>26.264448268193913</c:v>
                </c:pt>
                <c:pt idx="21">
                  <c:v>26.120264855943841</c:v>
                </c:pt>
                <c:pt idx="22">
                  <c:v>30.750508753560467</c:v>
                </c:pt>
                <c:pt idx="23">
                  <c:v>23.597223741381676</c:v>
                </c:pt>
                <c:pt idx="24">
                  <c:v>24.659476671939981</c:v>
                </c:pt>
                <c:pt idx="25">
                  <c:v>19.17161050621046</c:v>
                </c:pt>
                <c:pt idx="26">
                  <c:v>18.174778511308002</c:v>
                </c:pt>
                <c:pt idx="27">
                  <c:v>15.588074201462181</c:v>
                </c:pt>
                <c:pt idx="28">
                  <c:v>15.121804080383695</c:v>
                </c:pt>
                <c:pt idx="29">
                  <c:v>13.682207647806775</c:v>
                </c:pt>
                <c:pt idx="30">
                  <c:v>18.301370558166745</c:v>
                </c:pt>
                <c:pt idx="31">
                  <c:v>22.465887122258309</c:v>
                </c:pt>
                <c:pt idx="32">
                  <c:v>32.936618946829832</c:v>
                </c:pt>
                <c:pt idx="33">
                  <c:v>33.18526908950696</c:v>
                </c:pt>
                <c:pt idx="34">
                  <c:v>43.81656911916604</c:v>
                </c:pt>
                <c:pt idx="35">
                  <c:v>37.13008954186499</c:v>
                </c:pt>
                <c:pt idx="36">
                  <c:v>33.704037820770758</c:v>
                </c:pt>
                <c:pt idx="37">
                  <c:v>29.583878873594351</c:v>
                </c:pt>
                <c:pt idx="38">
                  <c:v>26.573755189214058</c:v>
                </c:pt>
                <c:pt idx="39">
                  <c:v>25.512022242804132</c:v>
                </c:pt>
                <c:pt idx="40">
                  <c:v>23.59510361348373</c:v>
                </c:pt>
                <c:pt idx="41">
                  <c:v>22.543002635599748</c:v>
                </c:pt>
                <c:pt idx="42">
                  <c:v>31.531531832462012</c:v>
                </c:pt>
                <c:pt idx="43">
                  <c:v>33.97204096324711</c:v>
                </c:pt>
                <c:pt idx="44">
                  <c:v>43.537323397452454</c:v>
                </c:pt>
                <c:pt idx="45">
                  <c:v>44.909222583613797</c:v>
                </c:pt>
                <c:pt idx="46">
                  <c:v>54.314446255138975</c:v>
                </c:pt>
                <c:pt idx="47">
                  <c:v>38.485811508350793</c:v>
                </c:pt>
                <c:pt idx="48">
                  <c:v>35.615785637553479</c:v>
                </c:pt>
                <c:pt idx="49">
                  <c:v>32.053759423846778</c:v>
                </c:pt>
                <c:pt idx="50">
                  <c:v>27.252966112255649</c:v>
                </c:pt>
                <c:pt idx="51">
                  <c:v>21.507061635552891</c:v>
                </c:pt>
                <c:pt idx="52">
                  <c:v>20.60229485760075</c:v>
                </c:pt>
                <c:pt idx="53">
                  <c:v>19.590257686809274</c:v>
                </c:pt>
                <c:pt idx="54">
                  <c:v>24.748977122816761</c:v>
                </c:pt>
                <c:pt idx="55">
                  <c:v>29.865844807404258</c:v>
                </c:pt>
                <c:pt idx="56">
                  <c:v>34.640218234079512</c:v>
                </c:pt>
                <c:pt idx="57">
                  <c:v>42.527174034850297</c:v>
                </c:pt>
                <c:pt idx="58">
                  <c:v>50.351024743362053</c:v>
                </c:pt>
                <c:pt idx="59">
                  <c:v>35.32893652020892</c:v>
                </c:pt>
                <c:pt idx="60">
                  <c:v>35.045112286147017</c:v>
                </c:pt>
                <c:pt idx="61">
                  <c:v>29.470560312180538</c:v>
                </c:pt>
                <c:pt idx="62">
                  <c:v>25.05900276651213</c:v>
                </c:pt>
                <c:pt idx="63">
                  <c:v>19.686675686616883</c:v>
                </c:pt>
                <c:pt idx="64">
                  <c:v>20.698884020659399</c:v>
                </c:pt>
                <c:pt idx="65">
                  <c:v>21.557308265408214</c:v>
                </c:pt>
                <c:pt idx="66">
                  <c:v>23.655437347012487</c:v>
                </c:pt>
                <c:pt idx="67">
                  <c:v>26.8568926180834</c:v>
                </c:pt>
                <c:pt idx="68">
                  <c:v>35.619497360031069</c:v>
                </c:pt>
                <c:pt idx="69">
                  <c:v>45.696290723875848</c:v>
                </c:pt>
                <c:pt idx="70">
                  <c:v>54.547666593852746</c:v>
                </c:pt>
                <c:pt idx="71">
                  <c:v>45.055377164256683</c:v>
                </c:pt>
                <c:pt idx="72">
                  <c:v>38.608808975234133</c:v>
                </c:pt>
                <c:pt idx="73">
                  <c:v>28.507061494937521</c:v>
                </c:pt>
                <c:pt idx="74">
                  <c:v>26.923360463192605</c:v>
                </c:pt>
                <c:pt idx="75">
                  <c:v>23.832917198299768</c:v>
                </c:pt>
                <c:pt idx="76">
                  <c:v>22.783872838911677</c:v>
                </c:pt>
                <c:pt idx="77">
                  <c:v>21.985363567400693</c:v>
                </c:pt>
                <c:pt idx="78">
                  <c:v>27.626562975914482</c:v>
                </c:pt>
                <c:pt idx="79">
                  <c:v>32.224702288611496</c:v>
                </c:pt>
                <c:pt idx="80">
                  <c:v>47.025769920903869</c:v>
                </c:pt>
                <c:pt idx="81">
                  <c:v>53.283787529117923</c:v>
                </c:pt>
                <c:pt idx="82">
                  <c:v>61.762096862489379</c:v>
                </c:pt>
                <c:pt idx="83">
                  <c:v>46.14714219999918</c:v>
                </c:pt>
                <c:pt idx="84">
                  <c:v>36.167108018562338</c:v>
                </c:pt>
                <c:pt idx="85">
                  <c:v>32.203765549587892</c:v>
                </c:pt>
                <c:pt idx="86">
                  <c:v>29.5931028041005</c:v>
                </c:pt>
                <c:pt idx="87">
                  <c:v>26.856008973869738</c:v>
                </c:pt>
                <c:pt idx="88">
                  <c:v>23.82062227057914</c:v>
                </c:pt>
                <c:pt idx="89">
                  <c:v>23.237458427411539</c:v>
                </c:pt>
                <c:pt idx="90">
                  <c:v>29.769309738032156</c:v>
                </c:pt>
                <c:pt idx="91">
                  <c:v>32.961760761393087</c:v>
                </c:pt>
                <c:pt idx="92">
                  <c:v>42.441109909898927</c:v>
                </c:pt>
                <c:pt idx="93">
                  <c:v>53.513944331368741</c:v>
                </c:pt>
                <c:pt idx="94">
                  <c:v>61.842300846996011</c:v>
                </c:pt>
                <c:pt idx="95">
                  <c:v>41.902521114476279</c:v>
                </c:pt>
                <c:pt idx="96">
                  <c:v>37.145421039498224</c:v>
                </c:pt>
                <c:pt idx="97">
                  <c:v>35.855956611065068</c:v>
                </c:pt>
                <c:pt idx="98">
                  <c:v>30.127607555328701</c:v>
                </c:pt>
                <c:pt idx="99">
                  <c:v>24.982177841434904</c:v>
                </c:pt>
                <c:pt idx="100">
                  <c:v>24.320843882010276</c:v>
                </c:pt>
                <c:pt idx="101">
                  <c:v>24.786365971135517</c:v>
                </c:pt>
                <c:pt idx="102">
                  <c:v>28.001413535579882</c:v>
                </c:pt>
                <c:pt idx="103">
                  <c:v>36.037300882099025</c:v>
                </c:pt>
                <c:pt idx="104">
                  <c:v>46.122290251287161</c:v>
                </c:pt>
                <c:pt idx="105">
                  <c:v>63.113708157233447</c:v>
                </c:pt>
                <c:pt idx="106">
                  <c:v>79.935514606453225</c:v>
                </c:pt>
                <c:pt idx="107">
                  <c:v>58.099971222922377</c:v>
                </c:pt>
                <c:pt idx="108">
                  <c:v>50.382676987137991</c:v>
                </c:pt>
                <c:pt idx="109">
                  <c:v>46.168855978954497</c:v>
                </c:pt>
                <c:pt idx="110">
                  <c:v>66.03710778791492</c:v>
                </c:pt>
                <c:pt idx="111">
                  <c:v>70.119611085830527</c:v>
                </c:pt>
                <c:pt idx="112">
                  <c:v>61.20191911485616</c:v>
                </c:pt>
                <c:pt idx="113">
                  <c:v>37.714049424824637</c:v>
                </c:pt>
                <c:pt idx="114">
                  <c:v>51.118753423025481</c:v>
                </c:pt>
                <c:pt idx="115">
                  <c:v>57.960709979134435</c:v>
                </c:pt>
                <c:pt idx="116">
                  <c:v>83.130693047885103</c:v>
                </c:pt>
                <c:pt idx="117">
                  <c:v>102.7029992158996</c:v>
                </c:pt>
                <c:pt idx="118">
                  <c:v>111.41673141101995</c:v>
                </c:pt>
                <c:pt idx="119">
                  <c:v>80.652835428412374</c:v>
                </c:pt>
                <c:pt idx="120">
                  <c:v>75.444572197242721</c:v>
                </c:pt>
                <c:pt idx="121">
                  <c:v>71.749324341563607</c:v>
                </c:pt>
                <c:pt idx="122">
                  <c:v>68.317389623641745</c:v>
                </c:pt>
                <c:pt idx="123">
                  <c:v>45.209758110428766</c:v>
                </c:pt>
                <c:pt idx="124">
                  <c:v>39.349504977182953</c:v>
                </c:pt>
                <c:pt idx="125">
                  <c:v>42.871746050187944</c:v>
                </c:pt>
                <c:pt idx="126">
                  <c:v>48.684618041124651</c:v>
                </c:pt>
                <c:pt idx="127">
                  <c:v>59.303761947782178</c:v>
                </c:pt>
                <c:pt idx="128">
                  <c:v>77.770096614998607</c:v>
                </c:pt>
                <c:pt idx="129">
                  <c:v>124.30383324381147</c:v>
                </c:pt>
                <c:pt idx="130">
                  <c:v>134.33341827400548</c:v>
                </c:pt>
                <c:pt idx="131">
                  <c:v>98.371254431485724</c:v>
                </c:pt>
                <c:pt idx="132">
                  <c:v>92.641310101904409</c:v>
                </c:pt>
                <c:pt idx="133">
                  <c:v>89.618700332794788</c:v>
                </c:pt>
                <c:pt idx="134">
                  <c:v>86.614336430701528</c:v>
                </c:pt>
                <c:pt idx="135">
                  <c:v>76.69953982985227</c:v>
                </c:pt>
                <c:pt idx="136">
                  <c:v>66.957886593900838</c:v>
                </c:pt>
                <c:pt idx="137">
                  <c:v>73.125962808757663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CA-429C-AF1C-9C6B00BD5CD0}"/>
            </c:ext>
          </c:extLst>
        </c:ser>
        <c:ser>
          <c:idx val="1"/>
          <c:order val="1"/>
          <c:tx>
            <c:strRef>
              <c:f>Sheet1!$L$1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Sheet1!$L$3:$L$130</c:f>
              <c:numCache>
                <c:formatCode>#,##0;\-#,##0;</c:formatCode>
                <c:ptCount val="128"/>
                <c:pt idx="0">
                  <c:v>13</c:v>
                </c:pt>
                <c:pt idx="1">
                  <c:v>12</c:v>
                </c:pt>
                <c:pt idx="2">
                  <c:v>9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11</c:v>
                </c:pt>
                <c:pt idx="7">
                  <c:v>13</c:v>
                </c:pt>
                <c:pt idx="8">
                  <c:v>20</c:v>
                </c:pt>
                <c:pt idx="9">
                  <c:v>22</c:v>
                </c:pt>
                <c:pt idx="10">
                  <c:v>26</c:v>
                </c:pt>
                <c:pt idx="11">
                  <c:v>19</c:v>
                </c:pt>
                <c:pt idx="12">
                  <c:v>20</c:v>
                </c:pt>
                <c:pt idx="13">
                  <c:v>15</c:v>
                </c:pt>
                <c:pt idx="14">
                  <c:v>14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14</c:v>
                </c:pt>
                <c:pt idx="19">
                  <c:v>18</c:v>
                </c:pt>
                <c:pt idx="20">
                  <c:v>24</c:v>
                </c:pt>
                <c:pt idx="21">
                  <c:v>27</c:v>
                </c:pt>
                <c:pt idx="22">
                  <c:v>32</c:v>
                </c:pt>
                <c:pt idx="23">
                  <c:v>25</c:v>
                </c:pt>
                <c:pt idx="24">
                  <c:v>22</c:v>
                </c:pt>
                <c:pt idx="25">
                  <c:v>21</c:v>
                </c:pt>
                <c:pt idx="26">
                  <c:v>18</c:v>
                </c:pt>
                <c:pt idx="27">
                  <c:v>15</c:v>
                </c:pt>
                <c:pt idx="28">
                  <c:v>14</c:v>
                </c:pt>
                <c:pt idx="29">
                  <c:v>14</c:v>
                </c:pt>
                <c:pt idx="30">
                  <c:v>19</c:v>
                </c:pt>
                <c:pt idx="31">
                  <c:v>24</c:v>
                </c:pt>
                <c:pt idx="32">
                  <c:v>30</c:v>
                </c:pt>
                <c:pt idx="33">
                  <c:v>39</c:v>
                </c:pt>
                <c:pt idx="34">
                  <c:v>49</c:v>
                </c:pt>
                <c:pt idx="35">
                  <c:v>35</c:v>
                </c:pt>
                <c:pt idx="36">
                  <c:v>33</c:v>
                </c:pt>
                <c:pt idx="37">
                  <c:v>30</c:v>
                </c:pt>
                <c:pt idx="38">
                  <c:v>30</c:v>
                </c:pt>
                <c:pt idx="39">
                  <c:v>24</c:v>
                </c:pt>
                <c:pt idx="40">
                  <c:v>23</c:v>
                </c:pt>
                <c:pt idx="41">
                  <c:v>25</c:v>
                </c:pt>
                <c:pt idx="42">
                  <c:v>28</c:v>
                </c:pt>
                <c:pt idx="43">
                  <c:v>33</c:v>
                </c:pt>
                <c:pt idx="44">
                  <c:v>38</c:v>
                </c:pt>
                <c:pt idx="45">
                  <c:v>46</c:v>
                </c:pt>
                <c:pt idx="46">
                  <c:v>50</c:v>
                </c:pt>
                <c:pt idx="47">
                  <c:v>37</c:v>
                </c:pt>
                <c:pt idx="48">
                  <c:v>35</c:v>
                </c:pt>
                <c:pt idx="49">
                  <c:v>29</c:v>
                </c:pt>
                <c:pt idx="50">
                  <c:v>25</c:v>
                </c:pt>
                <c:pt idx="51">
                  <c:v>21</c:v>
                </c:pt>
                <c:pt idx="52">
                  <c:v>19</c:v>
                </c:pt>
                <c:pt idx="53">
                  <c:v>20</c:v>
                </c:pt>
                <c:pt idx="54">
                  <c:v>25</c:v>
                </c:pt>
                <c:pt idx="55">
                  <c:v>27</c:v>
                </c:pt>
                <c:pt idx="56">
                  <c:v>36</c:v>
                </c:pt>
                <c:pt idx="57">
                  <c:v>44</c:v>
                </c:pt>
                <c:pt idx="58">
                  <c:v>47</c:v>
                </c:pt>
                <c:pt idx="59">
                  <c:v>37</c:v>
                </c:pt>
                <c:pt idx="60">
                  <c:v>33</c:v>
                </c:pt>
                <c:pt idx="61">
                  <c:v>27</c:v>
                </c:pt>
                <c:pt idx="62">
                  <c:v>23</c:v>
                </c:pt>
                <c:pt idx="63">
                  <c:v>22</c:v>
                </c:pt>
                <c:pt idx="64">
                  <c:v>21</c:v>
                </c:pt>
                <c:pt idx="65">
                  <c:v>19</c:v>
                </c:pt>
                <c:pt idx="66">
                  <c:v>23</c:v>
                </c:pt>
                <c:pt idx="67">
                  <c:v>28</c:v>
                </c:pt>
                <c:pt idx="68">
                  <c:v>39</c:v>
                </c:pt>
                <c:pt idx="69">
                  <c:v>50</c:v>
                </c:pt>
                <c:pt idx="70">
                  <c:v>60</c:v>
                </c:pt>
                <c:pt idx="71">
                  <c:v>41</c:v>
                </c:pt>
                <c:pt idx="72">
                  <c:v>32</c:v>
                </c:pt>
                <c:pt idx="73">
                  <c:v>30</c:v>
                </c:pt>
                <c:pt idx="74">
                  <c:v>27</c:v>
                </c:pt>
                <c:pt idx="75">
                  <c:v>24</c:v>
                </c:pt>
                <c:pt idx="76">
                  <c:v>22</c:v>
                </c:pt>
                <c:pt idx="77">
                  <c:v>23</c:v>
                </c:pt>
                <c:pt idx="78">
                  <c:v>28</c:v>
                </c:pt>
                <c:pt idx="79">
                  <c:v>37</c:v>
                </c:pt>
                <c:pt idx="80">
                  <c:v>44</c:v>
                </c:pt>
                <c:pt idx="81">
                  <c:v>55</c:v>
                </c:pt>
                <c:pt idx="82">
                  <c:v>62</c:v>
                </c:pt>
                <c:pt idx="83">
                  <c:v>40</c:v>
                </c:pt>
                <c:pt idx="84">
                  <c:v>36</c:v>
                </c:pt>
                <c:pt idx="85">
                  <c:v>33</c:v>
                </c:pt>
                <c:pt idx="86">
                  <c:v>30</c:v>
                </c:pt>
                <c:pt idx="87">
                  <c:v>25</c:v>
                </c:pt>
                <c:pt idx="88">
                  <c:v>23</c:v>
                </c:pt>
                <c:pt idx="89">
                  <c:v>25</c:v>
                </c:pt>
                <c:pt idx="90">
                  <c:v>27</c:v>
                </c:pt>
                <c:pt idx="91">
                  <c:v>33</c:v>
                </c:pt>
                <c:pt idx="92">
                  <c:v>44</c:v>
                </c:pt>
                <c:pt idx="93">
                  <c:v>55</c:v>
                </c:pt>
                <c:pt idx="94">
                  <c:v>59</c:v>
                </c:pt>
                <c:pt idx="95">
                  <c:v>42</c:v>
                </c:pt>
                <c:pt idx="96">
                  <c:v>40</c:v>
                </c:pt>
                <c:pt idx="97">
                  <c:v>33</c:v>
                </c:pt>
                <c:pt idx="98">
                  <c:v>28</c:v>
                </c:pt>
                <c:pt idx="99">
                  <c:v>26</c:v>
                </c:pt>
                <c:pt idx="100">
                  <c:v>24</c:v>
                </c:pt>
                <c:pt idx="101">
                  <c:v>24</c:v>
                </c:pt>
                <c:pt idx="102">
                  <c:v>30</c:v>
                </c:pt>
                <c:pt idx="103">
                  <c:v>36</c:v>
                </c:pt>
                <c:pt idx="104">
                  <c:v>53</c:v>
                </c:pt>
                <c:pt idx="105">
                  <c:v>75</c:v>
                </c:pt>
                <c:pt idx="106">
                  <c:v>82</c:v>
                </c:pt>
                <c:pt idx="107">
                  <c:v>55</c:v>
                </c:pt>
                <c:pt idx="108">
                  <c:v>52</c:v>
                </c:pt>
                <c:pt idx="109">
                  <c:v>57</c:v>
                </c:pt>
                <c:pt idx="110">
                  <c:v>80</c:v>
                </c:pt>
                <c:pt idx="111">
                  <c:v>65</c:v>
                </c:pt>
                <c:pt idx="112">
                  <c:v>48</c:v>
                </c:pt>
                <c:pt idx="113">
                  <c:v>45</c:v>
                </c:pt>
                <c:pt idx="114">
                  <c:v>49</c:v>
                </c:pt>
                <c:pt idx="115">
                  <c:v>65</c:v>
                </c:pt>
                <c:pt idx="116">
                  <c:v>75</c:v>
                </c:pt>
                <c:pt idx="117">
                  <c:v>95</c:v>
                </c:pt>
                <c:pt idx="118">
                  <c:v>100</c:v>
                </c:pt>
                <c:pt idx="119">
                  <c:v>70</c:v>
                </c:pt>
                <c:pt idx="120">
                  <c:v>59</c:v>
                </c:pt>
                <c:pt idx="121">
                  <c:v>48</c:v>
                </c:pt>
                <c:pt idx="122">
                  <c:v>40</c:v>
                </c:pt>
                <c:pt idx="123">
                  <c:v>34</c:v>
                </c:pt>
                <c:pt idx="124">
                  <c:v>29</c:v>
                </c:pt>
                <c:pt idx="125">
                  <c:v>32</c:v>
                </c:pt>
                <c:pt idx="126">
                  <c:v>38</c:v>
                </c:pt>
                <c:pt idx="127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CA-429C-AF1C-9C6B00BD5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0425840"/>
        <c:axId val="1760422096"/>
      </c:lineChart>
      <c:catAx>
        <c:axId val="17604258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60422096"/>
        <c:crosses val="autoZero"/>
        <c:auto val="1"/>
        <c:lblAlgn val="ctr"/>
        <c:lblOffset val="100"/>
        <c:noMultiLvlLbl val="0"/>
      </c:catAx>
      <c:valAx>
        <c:axId val="176042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6042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278129</xdr:colOff>
      <xdr:row>23</xdr:row>
      <xdr:rowOff>11436</xdr:rowOff>
    </xdr:from>
    <xdr:to>
      <xdr:col>20</xdr:col>
      <xdr:colOff>28574</xdr:colOff>
      <xdr:row>41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1BFCC7F-8B1B-49AA-8933-8358DFF728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40"/>
  <sheetViews>
    <sheetView tabSelected="1" workbookViewId="0">
      <pane ySplit="1" topLeftCell="A2" activePane="bottomLeft" state="frozen"/>
      <selection pane="bottomLeft" activeCell="E25" sqref="E25:G33"/>
    </sheetView>
  </sheetViews>
  <sheetFormatPr defaultColWidth="11" defaultRowHeight="15.6" x14ac:dyDescent="0.3"/>
  <cols>
    <col min="1" max="1" width="12.69921875" customWidth="1"/>
    <col min="2" max="2" width="9.19921875" customWidth="1"/>
    <col min="4" max="4" width="9" customWidth="1"/>
    <col min="6" max="6" width="13.5" customWidth="1"/>
    <col min="8" max="8" width="5.5" customWidth="1"/>
    <col min="9" max="9" width="4.19921875" style="45" customWidth="1"/>
    <col min="10" max="10" width="9.8984375" style="20" customWidth="1"/>
    <col min="11" max="11" width="10.5" style="20" customWidth="1"/>
    <col min="12" max="13" width="10.69921875" style="20" customWidth="1"/>
    <col min="14" max="15" width="8.59765625" style="20" customWidth="1"/>
    <col min="16" max="16" width="21" customWidth="1"/>
    <col min="17" max="17" width="26.09765625" customWidth="1"/>
    <col min="18" max="18" width="14.8984375" customWidth="1"/>
    <col min="19" max="22" width="10.69921875" customWidth="1"/>
    <col min="24" max="24" width="13.5" customWidth="1"/>
    <col min="25" max="25" width="14" customWidth="1"/>
    <col min="26" max="26" width="14.296875" customWidth="1"/>
  </cols>
  <sheetData>
    <row r="1" spans="1:26" x14ac:dyDescent="0.3">
      <c r="A1" s="10" t="s">
        <v>19</v>
      </c>
      <c r="B1" s="10" t="s">
        <v>20</v>
      </c>
      <c r="C1" s="10" t="s">
        <v>21</v>
      </c>
      <c r="D1" s="15"/>
      <c r="F1" s="7"/>
      <c r="H1" s="23" t="str">
        <f ca="1">_xlfn.FORMULATEXT(I1)</f>
        <v>=py_SARIMAX($A$1:$C$140,  $F$5:$F$8)</v>
      </c>
      <c r="I1" s="24" t="str" cm="1">
        <f t="array" aca="1" ref="I1:Z140" ca="1">py_SARIMAX($A$1:$C$140,  $F$5:$F$8)</f>
        <v/>
      </c>
      <c r="J1" s="24" t="str">
        <f ca="1"/>
        <v>Date</v>
      </c>
      <c r="K1" s="40" t="str">
        <f ca="1"/>
        <v>forecast</v>
      </c>
      <c r="L1" s="25" t="str">
        <f ca="1"/>
        <v>actual</v>
      </c>
      <c r="M1" s="25" t="str">
        <f ca="1"/>
        <v>variance</v>
      </c>
      <c r="N1" s="26" t="str">
        <f ca="1"/>
        <v>perc.var</v>
      </c>
      <c r="O1" s="26" t="str">
        <f ca="1"/>
        <v>X</v>
      </c>
      <c r="P1" s="25">
        <f ca="1"/>
        <v>0</v>
      </c>
      <c r="Q1" s="25">
        <f ca="1"/>
        <v>1</v>
      </c>
      <c r="R1" s="25">
        <f ca="1"/>
        <v>2</v>
      </c>
      <c r="S1" s="25">
        <f ca="1"/>
        <v>3</v>
      </c>
      <c r="T1" s="25">
        <f ca="1"/>
        <v>4</v>
      </c>
      <c r="U1" s="26">
        <f ca="1"/>
        <v>5</v>
      </c>
      <c r="V1" s="19">
        <f ca="1"/>
        <v>6</v>
      </c>
      <c r="W1" s="18" t="str">
        <f ca="1"/>
        <v>index</v>
      </c>
      <c r="X1" s="18" t="str">
        <f ca="1"/>
        <v>training: accuracy</v>
      </c>
      <c r="Y1" s="18" t="str">
        <f ca="1"/>
        <v>testing: accuracy</v>
      </c>
      <c r="Z1" s="18" t="str">
        <f ca="1"/>
        <v>test vs training</v>
      </c>
    </row>
    <row r="2" spans="1:26" ht="20.399999999999999" customHeight="1" x14ac:dyDescent="0.3">
      <c r="A2" s="11">
        <v>40544</v>
      </c>
      <c r="B2" s="12">
        <v>14</v>
      </c>
      <c r="C2" s="12">
        <v>0</v>
      </c>
      <c r="I2" s="44">
        <f ca="1"/>
        <v>0</v>
      </c>
      <c r="J2" s="43">
        <f ca="1"/>
        <v>40544</v>
      </c>
      <c r="K2" s="39">
        <f ca="1"/>
        <v>1.0424098767567098</v>
      </c>
      <c r="L2" s="27">
        <f ca="1"/>
        <v>14</v>
      </c>
      <c r="M2" s="27">
        <f ca="1"/>
        <v>-12.957590123243291</v>
      </c>
      <c r="N2" s="46">
        <f ca="1"/>
        <v>-0.92554215166023501</v>
      </c>
      <c r="O2" s="27">
        <f ca="1"/>
        <v>0</v>
      </c>
      <c r="P2" s="17" t="str">
        <f ca="1"/>
        <v>Dep. Variable:</v>
      </c>
      <c r="Q2" s="21" t="str">
        <f ca="1"/>
        <v>y</v>
      </c>
      <c r="R2" s="28" t="str">
        <f ca="1"/>
        <v>No. Observations:</v>
      </c>
      <c r="S2" s="22">
        <f ca="1"/>
        <v>117</v>
      </c>
      <c r="T2" s="29" t="str">
        <f ca="1"/>
        <v/>
      </c>
      <c r="U2" s="14" t="str">
        <f ca="1"/>
        <v/>
      </c>
      <c r="V2" s="14" t="str">
        <f ca="1"/>
        <v/>
      </c>
      <c r="W2" s="18" t="str">
        <f ca="1"/>
        <v>MAE</v>
      </c>
      <c r="X2" s="16">
        <f ca="1"/>
        <v>2.5058280337963956</v>
      </c>
      <c r="Y2" s="16">
        <f ca="1"/>
        <v>13.652827866030966</v>
      </c>
      <c r="Z2" s="16">
        <f ca="1"/>
        <v>11.14699983223457</v>
      </c>
    </row>
    <row r="3" spans="1:26" x14ac:dyDescent="0.3">
      <c r="A3" s="11">
        <v>40575</v>
      </c>
      <c r="B3" s="12">
        <v>13</v>
      </c>
      <c r="C3" s="12">
        <v>0</v>
      </c>
      <c r="I3" s="44">
        <f ca="1"/>
        <v>1</v>
      </c>
      <c r="J3" s="43">
        <f ca="1"/>
        <v>40575</v>
      </c>
      <c r="K3" s="39">
        <f ca="1"/>
        <v>14.331295464494126</v>
      </c>
      <c r="L3" s="27">
        <f ca="1"/>
        <v>13</v>
      </c>
      <c r="M3" s="27">
        <f ca="1"/>
        <v>1.3312954644941257</v>
      </c>
      <c r="N3" s="46">
        <f ca="1"/>
        <v>0.10240734342262514</v>
      </c>
      <c r="O3" s="27">
        <f ca="1"/>
        <v>0</v>
      </c>
      <c r="P3" s="17" t="str">
        <f ca="1"/>
        <v>Model:</v>
      </c>
      <c r="Q3" s="21" t="str">
        <f ca="1"/>
        <v>SARIMAX(1, 1, 1)x(2, 0, 1, 12)</v>
      </c>
      <c r="R3" s="30" t="str">
        <f ca="1"/>
        <v>Log Likelihood</v>
      </c>
      <c r="S3" s="22">
        <f ca="1"/>
        <v>21.308</v>
      </c>
      <c r="T3" s="29" t="str">
        <f ca="1"/>
        <v/>
      </c>
      <c r="U3" s="14" t="str">
        <f ca="1"/>
        <v/>
      </c>
      <c r="V3" s="14" t="str">
        <f ca="1"/>
        <v/>
      </c>
      <c r="W3" s="18" t="str">
        <f ca="1"/>
        <v>MAPE</v>
      </c>
      <c r="X3" s="16">
        <f ca="1"/>
        <v>8.5959801084172269E-2</v>
      </c>
      <c r="Y3" s="16">
        <f ca="1"/>
        <v>0.29688615529817314</v>
      </c>
      <c r="Z3" s="16">
        <f ca="1"/>
        <v>0.21092635421400086</v>
      </c>
    </row>
    <row r="4" spans="1:26" x14ac:dyDescent="0.3">
      <c r="A4" s="11">
        <v>40603</v>
      </c>
      <c r="B4" s="12">
        <v>12</v>
      </c>
      <c r="C4" s="12">
        <v>0</v>
      </c>
      <c r="E4" s="48" t="s">
        <v>22</v>
      </c>
      <c r="H4" s="36"/>
      <c r="I4" s="44">
        <f ca="1"/>
        <v>2</v>
      </c>
      <c r="J4" s="43">
        <f ca="1"/>
        <v>40603</v>
      </c>
      <c r="K4" s="39">
        <f ca="1"/>
        <v>13.498824986817935</v>
      </c>
      <c r="L4" s="27">
        <f ca="1"/>
        <v>12</v>
      </c>
      <c r="M4" s="27">
        <f ca="1"/>
        <v>1.4988249868179349</v>
      </c>
      <c r="N4" s="46">
        <f ca="1"/>
        <v>0.1249020822348279</v>
      </c>
      <c r="O4" s="27">
        <f ca="1"/>
        <v>0</v>
      </c>
      <c r="P4" s="17" t="str">
        <f ca="1"/>
        <v>Date:</v>
      </c>
      <c r="Q4" s="21" t="str">
        <f ca="1"/>
        <v>Thu, 07 Oct 2021</v>
      </c>
      <c r="R4" s="30" t="str">
        <f ca="1"/>
        <v>AIC</v>
      </c>
      <c r="S4" s="22">
        <f ca="1"/>
        <v>-26.614999999999998</v>
      </c>
      <c r="T4" s="29" t="str">
        <f ca="1"/>
        <v/>
      </c>
      <c r="U4" s="14" t="str">
        <f ca="1"/>
        <v/>
      </c>
      <c r="V4" s="14" t="str">
        <f ca="1"/>
        <v/>
      </c>
      <c r="W4" s="18" t="str">
        <f ca="1"/>
        <v>RMSE</v>
      </c>
      <c r="X4" s="16">
        <f ca="1"/>
        <v>3.6798186601636877</v>
      </c>
      <c r="Y4" s="16">
        <f ca="1"/>
        <v>14.931293766655303</v>
      </c>
      <c r="Z4" s="16">
        <f ca="1"/>
        <v>11.251475106491615</v>
      </c>
    </row>
    <row r="5" spans="1:26" x14ac:dyDescent="0.3">
      <c r="A5" s="11">
        <v>40634</v>
      </c>
      <c r="B5" s="12">
        <v>9</v>
      </c>
      <c r="C5" s="12">
        <v>0</v>
      </c>
      <c r="D5" s="6"/>
      <c r="E5" s="47" t="s">
        <v>15</v>
      </c>
      <c r="F5" s="8">
        <f ca="1">RANDBETWEEN(0,1)</f>
        <v>1</v>
      </c>
      <c r="I5" s="44">
        <f ca="1"/>
        <v>3</v>
      </c>
      <c r="J5" s="43">
        <f ca="1"/>
        <v>40634</v>
      </c>
      <c r="K5" s="39">
        <f ca="1"/>
        <v>12.581255173996626</v>
      </c>
      <c r="L5" s="27">
        <f ca="1"/>
        <v>9</v>
      </c>
      <c r="M5" s="27">
        <f ca="1"/>
        <v>3.5812551739966256</v>
      </c>
      <c r="N5" s="46">
        <f ca="1"/>
        <v>0.3979172415551806</v>
      </c>
      <c r="O5" s="27">
        <f ca="1"/>
        <v>0</v>
      </c>
      <c r="P5" s="17" t="str">
        <f ca="1"/>
        <v>Time:</v>
      </c>
      <c r="Q5" s="21" t="str">
        <f ca="1"/>
        <v>17:46:45</v>
      </c>
      <c r="R5" s="30" t="str">
        <f ca="1"/>
        <v>BIC</v>
      </c>
      <c r="S5" s="22">
        <f ca="1"/>
        <v>-4.5860000000000003</v>
      </c>
      <c r="T5" s="29" t="str">
        <f ca="1"/>
        <v/>
      </c>
      <c r="U5" s="14" t="str">
        <f ca="1"/>
        <v/>
      </c>
      <c r="V5" s="14" t="str">
        <f ca="1"/>
        <v/>
      </c>
      <c r="W5" s="18" t="str">
        <f ca="1"/>
        <v>Corr</v>
      </c>
      <c r="X5" s="16">
        <f ca="1"/>
        <v>0.97188936210384214</v>
      </c>
      <c r="Y5" s="16">
        <f ca="1"/>
        <v>0.96617256483232561</v>
      </c>
      <c r="Z5" s="16">
        <f ca="1"/>
        <v>-5.7167972715165272E-3</v>
      </c>
    </row>
    <row r="6" spans="1:26" x14ac:dyDescent="0.3">
      <c r="A6" s="11">
        <v>40664</v>
      </c>
      <c r="B6" s="12">
        <v>8</v>
      </c>
      <c r="C6" s="12">
        <v>0</v>
      </c>
      <c r="D6" s="6"/>
      <c r="E6" s="47" t="s">
        <v>16</v>
      </c>
      <c r="F6" s="8">
        <f ca="1">2-F5</f>
        <v>1</v>
      </c>
      <c r="I6" s="44">
        <f ca="1"/>
        <v>4</v>
      </c>
      <c r="J6" s="43">
        <f ca="1"/>
        <v>40664</v>
      </c>
      <c r="K6" s="39">
        <f ca="1"/>
        <v>9.8260482177640753</v>
      </c>
      <c r="L6" s="27">
        <f ca="1"/>
        <v>8</v>
      </c>
      <c r="M6" s="27">
        <f ca="1"/>
        <v>1.8260482177640753</v>
      </c>
      <c r="N6" s="46">
        <f ca="1"/>
        <v>0.22825602722050942</v>
      </c>
      <c r="O6" s="27">
        <f ca="1"/>
        <v>0</v>
      </c>
      <c r="P6" s="17" t="str">
        <f ca="1"/>
        <v>Sample:</v>
      </c>
      <c r="Q6" s="21" t="str">
        <f ca="1"/>
        <v>01-01-2011</v>
      </c>
      <c r="R6" s="30" t="str">
        <f ca="1"/>
        <v>HQIC</v>
      </c>
      <c r="S6" s="22">
        <f ca="1"/>
        <v>-17.672999999999998</v>
      </c>
      <c r="T6" s="29" t="str">
        <f ca="1"/>
        <v/>
      </c>
      <c r="U6" s="14" t="str">
        <f ca="1"/>
        <v/>
      </c>
      <c r="V6" s="14" t="str">
        <f ca="1"/>
        <v/>
      </c>
      <c r="W6" t="str">
        <f ca="1"/>
        <v/>
      </c>
      <c r="X6" t="str">
        <f ca="1"/>
        <v/>
      </c>
      <c r="Y6" t="str">
        <f ca="1"/>
        <v/>
      </c>
      <c r="Z6" t="str">
        <f ca="1"/>
        <v/>
      </c>
    </row>
    <row r="7" spans="1:26" x14ac:dyDescent="0.3">
      <c r="A7" s="11">
        <v>40695</v>
      </c>
      <c r="B7" s="12">
        <v>8</v>
      </c>
      <c r="C7" s="12">
        <v>0</v>
      </c>
      <c r="D7" s="6"/>
      <c r="E7" s="47" t="s">
        <v>17</v>
      </c>
      <c r="F7" s="8">
        <f ca="1">3-F5</f>
        <v>2</v>
      </c>
      <c r="I7" s="44">
        <f ca="1"/>
        <v>5</v>
      </c>
      <c r="J7" s="43">
        <f ca="1"/>
        <v>40695</v>
      </c>
      <c r="K7" s="39">
        <f ca="1"/>
        <v>8.6824437683606259</v>
      </c>
      <c r="L7" s="27">
        <f ca="1"/>
        <v>8</v>
      </c>
      <c r="M7" s="27">
        <f ca="1"/>
        <v>0.68244376836062592</v>
      </c>
      <c r="N7" s="46">
        <f ca="1"/>
        <v>8.5305471045078241E-2</v>
      </c>
      <c r="O7" s="27">
        <f ca="1"/>
        <v>0</v>
      </c>
      <c r="P7" s="17" t="str">
        <f ca="1"/>
        <v/>
      </c>
      <c r="Q7" s="21" t="str">
        <f ca="1"/>
        <v>- 09-01-2020</v>
      </c>
      <c r="R7" s="17" t="str">
        <f ca="1"/>
        <v/>
      </c>
      <c r="S7" s="29" t="str">
        <f ca="1"/>
        <v/>
      </c>
      <c r="T7" s="29" t="str">
        <f ca="1"/>
        <v/>
      </c>
      <c r="U7" s="14" t="str">
        <f ca="1"/>
        <v/>
      </c>
      <c r="V7" s="14" t="str">
        <f ca="1"/>
        <v/>
      </c>
      <c r="W7" t="str">
        <f ca="1"/>
        <v/>
      </c>
      <c r="X7" t="str">
        <f ca="1"/>
        <v/>
      </c>
      <c r="Y7" t="str">
        <f ca="1"/>
        <v/>
      </c>
      <c r="Z7" t="str">
        <f ca="1"/>
        <v/>
      </c>
    </row>
    <row r="8" spans="1:26" x14ac:dyDescent="0.3">
      <c r="A8" s="11">
        <v>40725</v>
      </c>
      <c r="B8" s="12">
        <v>8</v>
      </c>
      <c r="C8" s="12">
        <v>0</v>
      </c>
      <c r="E8" s="47" t="s">
        <v>18</v>
      </c>
      <c r="F8" s="8">
        <v>1</v>
      </c>
      <c r="I8" s="44">
        <f ca="1"/>
        <v>6</v>
      </c>
      <c r="J8" s="43">
        <f ca="1"/>
        <v>40725</v>
      </c>
      <c r="K8" s="39">
        <f ca="1"/>
        <v>8.4892781988091937</v>
      </c>
      <c r="L8" s="27">
        <f ca="1"/>
        <v>8</v>
      </c>
      <c r="M8" s="27">
        <f ca="1"/>
        <v>0.48927819880919365</v>
      </c>
      <c r="N8" s="46">
        <f ca="1"/>
        <v>6.1159774851149207E-2</v>
      </c>
      <c r="O8" s="27">
        <f ca="1"/>
        <v>0</v>
      </c>
      <c r="P8" s="17" t="str">
        <f ca="1"/>
        <v>Covariance Type:</v>
      </c>
      <c r="Q8" s="21" t="str">
        <f ca="1"/>
        <v>opg</v>
      </c>
      <c r="R8" s="29" t="str">
        <f ca="1"/>
        <v/>
      </c>
      <c r="S8" s="29" t="str">
        <f ca="1"/>
        <v/>
      </c>
      <c r="T8" s="29" t="str">
        <f ca="1"/>
        <v/>
      </c>
      <c r="U8" s="14" t="str">
        <f ca="1"/>
        <v/>
      </c>
      <c r="V8" s="14" t="str">
        <f ca="1"/>
        <v/>
      </c>
      <c r="W8" t="str">
        <f ca="1"/>
        <v/>
      </c>
      <c r="X8" t="str">
        <f ca="1"/>
        <v/>
      </c>
      <c r="Y8" t="str">
        <f ca="1"/>
        <v/>
      </c>
      <c r="Z8" t="str">
        <f ca="1"/>
        <v/>
      </c>
    </row>
    <row r="9" spans="1:26" x14ac:dyDescent="0.3">
      <c r="A9" s="11">
        <v>40756</v>
      </c>
      <c r="B9" s="12">
        <v>11</v>
      </c>
      <c r="C9" s="12">
        <v>0</v>
      </c>
      <c r="E9" s="13"/>
      <c r="F9" s="9"/>
      <c r="I9" s="44">
        <f ca="1"/>
        <v>7</v>
      </c>
      <c r="J9" s="43">
        <f ca="1"/>
        <v>40756</v>
      </c>
      <c r="K9" s="39">
        <f ca="1"/>
        <v>8.391585040727584</v>
      </c>
      <c r="L9" s="27">
        <f ca="1"/>
        <v>11</v>
      </c>
      <c r="M9" s="27">
        <f ca="1"/>
        <v>-2.608414959272416</v>
      </c>
      <c r="N9" s="46">
        <f ca="1"/>
        <v>-0.23712863266112871</v>
      </c>
      <c r="O9" s="27">
        <f ca="1"/>
        <v>0</v>
      </c>
      <c r="P9" s="17" t="str">
        <f ca="1"/>
        <v/>
      </c>
      <c r="Q9" s="17" t="str">
        <f ca="1"/>
        <v>coef</v>
      </c>
      <c r="R9" s="17" t="str">
        <f ca="1"/>
        <v>std err</v>
      </c>
      <c r="S9" s="17" t="str">
        <f ca="1"/>
        <v>z</v>
      </c>
      <c r="T9" s="17" t="str">
        <f ca="1"/>
        <v>P&gt;|z|</v>
      </c>
      <c r="U9" s="18" t="str">
        <f ca="1"/>
        <v>[0.025</v>
      </c>
      <c r="V9" s="18" t="str">
        <f ca="1"/>
        <v>0.975]</v>
      </c>
      <c r="W9" t="str">
        <f ca="1"/>
        <v/>
      </c>
      <c r="X9" t="str">
        <f ca="1"/>
        <v/>
      </c>
      <c r="Y9" t="str">
        <f ca="1"/>
        <v/>
      </c>
      <c r="Z9" t="str">
        <f ca="1"/>
        <v/>
      </c>
    </row>
    <row r="10" spans="1:26" x14ac:dyDescent="0.3">
      <c r="A10" s="11">
        <v>40787</v>
      </c>
      <c r="B10" s="12">
        <v>13</v>
      </c>
      <c r="C10" s="12">
        <v>0</v>
      </c>
      <c r="I10" s="44">
        <f ca="1"/>
        <v>8</v>
      </c>
      <c r="J10" s="43">
        <f ca="1"/>
        <v>40787</v>
      </c>
      <c r="K10" s="39">
        <f ca="1"/>
        <v>10.90653638399548</v>
      </c>
      <c r="L10" s="27">
        <f ca="1"/>
        <v>13</v>
      </c>
      <c r="M10" s="27">
        <f ca="1"/>
        <v>-2.0934636160045201</v>
      </c>
      <c r="N10" s="46">
        <f ca="1"/>
        <v>-0.16103566276957848</v>
      </c>
      <c r="O10" s="27">
        <f ca="1"/>
        <v>0</v>
      </c>
      <c r="P10" s="17" t="str">
        <f ca="1"/>
        <v>intercept</v>
      </c>
      <c r="Q10" s="34" t="str">
        <f ca="1"/>
        <v>0.0008</v>
      </c>
      <c r="R10" s="38" t="str">
        <f ca="1"/>
        <v>0.002</v>
      </c>
      <c r="S10" s="38" t="str">
        <f ca="1"/>
        <v>0.440</v>
      </c>
      <c r="T10" s="38" t="str">
        <f ca="1"/>
        <v>0.660</v>
      </c>
      <c r="U10" s="38" t="str">
        <f ca="1"/>
        <v>-0.003</v>
      </c>
      <c r="V10" s="38" t="str">
        <f ca="1"/>
        <v>0.004</v>
      </c>
      <c r="W10" t="str">
        <f ca="1"/>
        <v/>
      </c>
      <c r="X10" t="str">
        <f ca="1"/>
        <v/>
      </c>
      <c r="Y10" t="str">
        <f ca="1"/>
        <v/>
      </c>
      <c r="Z10" t="str">
        <f ca="1"/>
        <v/>
      </c>
    </row>
    <row r="11" spans="1:26" x14ac:dyDescent="0.3">
      <c r="A11" s="11">
        <v>40817</v>
      </c>
      <c r="B11" s="12">
        <v>20</v>
      </c>
      <c r="C11" s="12">
        <v>1</v>
      </c>
      <c r="I11" s="44">
        <f ca="1"/>
        <v>9</v>
      </c>
      <c r="J11" s="43">
        <f ca="1"/>
        <v>40817</v>
      </c>
      <c r="K11" s="39">
        <f ca="1"/>
        <v>18.713237717878954</v>
      </c>
      <c r="L11" s="27">
        <f ca="1"/>
        <v>20</v>
      </c>
      <c r="M11" s="27">
        <f ca="1"/>
        <v>-1.286762282121046</v>
      </c>
      <c r="N11" s="46">
        <f ca="1"/>
        <v>-6.433811410605228E-2</v>
      </c>
      <c r="O11" s="27">
        <f ca="1"/>
        <v>1</v>
      </c>
      <c r="P11" s="17" t="str">
        <f ca="1"/>
        <v>X</v>
      </c>
      <c r="Q11" s="34" t="str">
        <f ca="1"/>
        <v>0.6873</v>
      </c>
      <c r="R11" s="38" t="str">
        <f ca="1"/>
        <v>0.087</v>
      </c>
      <c r="S11" s="38" t="str">
        <f ca="1"/>
        <v>7.891</v>
      </c>
      <c r="T11" s="38" t="str">
        <f ca="1"/>
        <v>0.000</v>
      </c>
      <c r="U11" s="38" t="str">
        <f ca="1"/>
        <v>0.517</v>
      </c>
      <c r="V11" s="38" t="str">
        <f ca="1"/>
        <v>0.858</v>
      </c>
      <c r="W11" t="str">
        <f ca="1"/>
        <v/>
      </c>
      <c r="X11" t="str">
        <f ca="1"/>
        <v/>
      </c>
      <c r="Y11" t="str">
        <f ca="1"/>
        <v/>
      </c>
      <c r="Z11" t="str">
        <f ca="1"/>
        <v/>
      </c>
    </row>
    <row r="12" spans="1:26" x14ac:dyDescent="0.3">
      <c r="A12" s="11">
        <v>40848</v>
      </c>
      <c r="B12" s="12">
        <v>22</v>
      </c>
      <c r="C12" s="12">
        <v>1</v>
      </c>
      <c r="E12" s="3" t="str">
        <f ca="1">_xlfn.FORMULATEXT(E13)</f>
        <v>=py_describe(A1:C140)</v>
      </c>
      <c r="I12" s="44">
        <f ca="1"/>
        <v>10</v>
      </c>
      <c r="J12" s="43">
        <f ca="1"/>
        <v>40848</v>
      </c>
      <c r="K12" s="39">
        <f ca="1"/>
        <v>20.044986727765139</v>
      </c>
      <c r="L12" s="27">
        <f ca="1"/>
        <v>22</v>
      </c>
      <c r="M12" s="27">
        <f ca="1"/>
        <v>-1.9550132722348614</v>
      </c>
      <c r="N12" s="46">
        <f ca="1"/>
        <v>-8.8864239647039156E-2</v>
      </c>
      <c r="O12" s="27">
        <f ca="1"/>
        <v>1</v>
      </c>
      <c r="P12" s="17" t="str">
        <f ca="1"/>
        <v>ar.L1</v>
      </c>
      <c r="Q12" s="34" t="str">
        <f ca="1"/>
        <v>0.3620</v>
      </c>
      <c r="R12" s="38" t="str">
        <f ca="1"/>
        <v>0.382</v>
      </c>
      <c r="S12" s="38" t="str">
        <f ca="1"/>
        <v>0.948</v>
      </c>
      <c r="T12" s="38" t="str">
        <f ca="1"/>
        <v>0.343</v>
      </c>
      <c r="U12" s="38" t="str">
        <f ca="1"/>
        <v>-0.387</v>
      </c>
      <c r="V12" s="38" t="str">
        <f ca="1"/>
        <v>1.111</v>
      </c>
      <c r="W12" t="str">
        <f ca="1"/>
        <v/>
      </c>
      <c r="X12" t="str">
        <f ca="1"/>
        <v/>
      </c>
      <c r="Y12" t="str">
        <f ca="1"/>
        <v/>
      </c>
      <c r="Z12" t="str">
        <f ca="1"/>
        <v/>
      </c>
    </row>
    <row r="13" spans="1:26" x14ac:dyDescent="0.3">
      <c r="A13" s="11">
        <v>40878</v>
      </c>
      <c r="B13" s="12">
        <v>26</v>
      </c>
      <c r="C13" s="12">
        <v>1</v>
      </c>
      <c r="E13" s="14" t="str" cm="1">
        <f t="array" ref="E13:G21">py_describe(A1:C140)</f>
        <v/>
      </c>
      <c r="F13" s="19" t="str">
        <v>Pants</v>
      </c>
      <c r="G13" s="19" t="str">
        <v>Peaks</v>
      </c>
      <c r="I13" s="44">
        <f ca="1"/>
        <v>11</v>
      </c>
      <c r="J13" s="43">
        <f ca="1"/>
        <v>40878</v>
      </c>
      <c r="K13" s="39">
        <f ca="1"/>
        <v>22.183841333776812</v>
      </c>
      <c r="L13" s="27">
        <f ca="1"/>
        <v>26</v>
      </c>
      <c r="M13" s="27">
        <f ca="1"/>
        <v>-3.8161586662231883</v>
      </c>
      <c r="N13" s="46">
        <f ca="1"/>
        <v>-0.14677533331627646</v>
      </c>
      <c r="O13" s="27">
        <f ca="1"/>
        <v>1</v>
      </c>
      <c r="P13" s="17" t="str">
        <f ca="1"/>
        <v>ma.L1</v>
      </c>
      <c r="Q13" s="34" t="str">
        <f ca="1"/>
        <v>-0.5180</v>
      </c>
      <c r="R13" s="38" t="str">
        <f ca="1"/>
        <v>0.330</v>
      </c>
      <c r="S13" s="38" t="str">
        <f ca="1"/>
        <v>-1.570</v>
      </c>
      <c r="T13" s="38" t="str">
        <f ca="1"/>
        <v>0.117</v>
      </c>
      <c r="U13" s="38" t="str">
        <f ca="1"/>
        <v>-1.165</v>
      </c>
      <c r="V13" s="38" t="str">
        <f ca="1"/>
        <v>0.129</v>
      </c>
      <c r="W13" t="str">
        <f ca="1"/>
        <v/>
      </c>
      <c r="X13" t="str">
        <f ca="1"/>
        <v/>
      </c>
      <c r="Y13" t="str">
        <f ca="1"/>
        <v/>
      </c>
      <c r="Z13" t="str">
        <f ca="1"/>
        <v/>
      </c>
    </row>
    <row r="14" spans="1:26" x14ac:dyDescent="0.3">
      <c r="A14" s="11">
        <v>40909</v>
      </c>
      <c r="B14" s="12">
        <v>19</v>
      </c>
      <c r="C14" s="12">
        <v>0</v>
      </c>
      <c r="E14" s="18" t="str">
        <v>count</v>
      </c>
      <c r="F14" s="41">
        <v>129</v>
      </c>
      <c r="G14" s="42">
        <v>139</v>
      </c>
      <c r="I14" s="44">
        <f ca="1"/>
        <v>12</v>
      </c>
      <c r="J14" s="43">
        <f ca="1"/>
        <v>40909</v>
      </c>
      <c r="K14" s="39">
        <f ca="1"/>
        <v>18.566616202669369</v>
      </c>
      <c r="L14" s="27">
        <f ca="1"/>
        <v>19</v>
      </c>
      <c r="M14" s="27">
        <f ca="1"/>
        <v>-0.43338379733063093</v>
      </c>
      <c r="N14" s="46">
        <f ca="1"/>
        <v>-2.2809673543717435E-2</v>
      </c>
      <c r="O14" s="27">
        <f ca="1"/>
        <v>0</v>
      </c>
      <c r="P14" s="17" t="str">
        <f ca="1"/>
        <v>ar.S.L12</v>
      </c>
      <c r="Q14" s="34" t="str">
        <f ca="1"/>
        <v>0.8722</v>
      </c>
      <c r="R14" s="38" t="str">
        <f ca="1"/>
        <v>0.265</v>
      </c>
      <c r="S14" s="38" t="str">
        <f ca="1"/>
        <v>3.289</v>
      </c>
      <c r="T14" s="38" t="str">
        <f ca="1"/>
        <v>0.001</v>
      </c>
      <c r="U14" s="38" t="str">
        <f ca="1"/>
        <v>0.352</v>
      </c>
      <c r="V14" s="38" t="str">
        <f ca="1"/>
        <v>1.392</v>
      </c>
      <c r="W14" t="str">
        <f ca="1"/>
        <v/>
      </c>
      <c r="X14" t="str">
        <f ca="1"/>
        <v/>
      </c>
      <c r="Y14" t="str">
        <f ca="1"/>
        <v/>
      </c>
      <c r="Z14" t="str">
        <f ca="1"/>
        <v/>
      </c>
    </row>
    <row r="15" spans="1:26" x14ac:dyDescent="0.3">
      <c r="A15" s="11">
        <v>40940</v>
      </c>
      <c r="B15" s="12">
        <v>20</v>
      </c>
      <c r="C15" s="12">
        <v>0</v>
      </c>
      <c r="E15" s="18" t="str">
        <v>mean</v>
      </c>
      <c r="F15" s="41">
        <v>33.643410852713181</v>
      </c>
      <c r="G15" s="42">
        <v>0.21582733812949639</v>
      </c>
      <c r="I15" s="44">
        <f ca="1"/>
        <v>13</v>
      </c>
      <c r="J15" s="43">
        <f ca="1"/>
        <v>40940</v>
      </c>
      <c r="K15" s="39">
        <f ca="1"/>
        <v>17.963980049200089</v>
      </c>
      <c r="L15" s="27">
        <f ca="1"/>
        <v>20</v>
      </c>
      <c r="M15" s="27">
        <f ca="1"/>
        <v>-2.0360199507999113</v>
      </c>
      <c r="N15" s="46">
        <f ca="1"/>
        <v>-0.10180099753999561</v>
      </c>
      <c r="O15" s="27">
        <f ca="1"/>
        <v>0</v>
      </c>
      <c r="P15" s="18" t="str">
        <f ca="1"/>
        <v>ar.S.L24</v>
      </c>
      <c r="Q15" s="34" t="str">
        <f ca="1"/>
        <v>0.0991</v>
      </c>
      <c r="R15" s="38" t="str">
        <f ca="1"/>
        <v>0.247</v>
      </c>
      <c r="S15" s="38" t="str">
        <f ca="1"/>
        <v>0.401</v>
      </c>
      <c r="T15" s="38" t="str">
        <f ca="1"/>
        <v>0.688</v>
      </c>
      <c r="U15" s="38" t="str">
        <f ca="1"/>
        <v>-0.385</v>
      </c>
      <c r="V15" s="38" t="str">
        <f ca="1"/>
        <v>0.583</v>
      </c>
      <c r="W15" t="str">
        <f ca="1"/>
        <v/>
      </c>
      <c r="X15" t="str">
        <f ca="1"/>
        <v/>
      </c>
      <c r="Y15" t="str">
        <f ca="1"/>
        <v/>
      </c>
      <c r="Z15" t="str">
        <f ca="1"/>
        <v/>
      </c>
    </row>
    <row r="16" spans="1:26" x14ac:dyDescent="0.3">
      <c r="A16" s="11">
        <v>40969</v>
      </c>
      <c r="B16" s="12">
        <v>15</v>
      </c>
      <c r="C16" s="12">
        <v>0</v>
      </c>
      <c r="E16" s="18" t="str">
        <v>std</v>
      </c>
      <c r="F16" s="41">
        <v>17.945141425332757</v>
      </c>
      <c r="G16" s="42">
        <v>0.49288546936776062</v>
      </c>
      <c r="I16" s="44">
        <f ca="1"/>
        <v>14</v>
      </c>
      <c r="J16" s="43">
        <f ca="1"/>
        <v>40969</v>
      </c>
      <c r="K16" s="39">
        <f ca="1"/>
        <v>18.634044170948993</v>
      </c>
      <c r="L16" s="27">
        <f ca="1"/>
        <v>15</v>
      </c>
      <c r="M16" s="27">
        <f ca="1"/>
        <v>3.634044170948993</v>
      </c>
      <c r="N16" s="46">
        <f ca="1"/>
        <v>0.24226961139659964</v>
      </c>
      <c r="O16" s="27">
        <f ca="1"/>
        <v>0</v>
      </c>
      <c r="P16" s="18" t="str">
        <f ca="1"/>
        <v>ma.S.L12</v>
      </c>
      <c r="Q16" s="34" t="str">
        <f ca="1"/>
        <v>-0.5718</v>
      </c>
      <c r="R16" s="38" t="str">
        <f ca="1"/>
        <v>0.277</v>
      </c>
      <c r="S16" s="38" t="str">
        <f ca="1"/>
        <v>-2.064</v>
      </c>
      <c r="T16" s="38" t="str">
        <f ca="1"/>
        <v>0.039</v>
      </c>
      <c r="U16" s="38" t="str">
        <f ca="1"/>
        <v>-1.115</v>
      </c>
      <c r="V16" s="38" t="str">
        <f ca="1"/>
        <v>-0.029</v>
      </c>
      <c r="W16" t="str">
        <f ca="1"/>
        <v/>
      </c>
      <c r="X16" t="str">
        <f ca="1"/>
        <v/>
      </c>
      <c r="Y16" t="str">
        <f ca="1"/>
        <v/>
      </c>
      <c r="Z16" t="str">
        <f ca="1"/>
        <v/>
      </c>
    </row>
    <row r="17" spans="1:26" x14ac:dyDescent="0.3">
      <c r="A17" s="11">
        <v>41000</v>
      </c>
      <c r="B17" s="12">
        <v>14</v>
      </c>
      <c r="C17" s="12">
        <v>0</v>
      </c>
      <c r="E17" s="18" t="str">
        <v>min</v>
      </c>
      <c r="F17" s="41">
        <v>8</v>
      </c>
      <c r="G17" s="42">
        <v>-1</v>
      </c>
      <c r="I17" s="44">
        <f ca="1"/>
        <v>15</v>
      </c>
      <c r="J17" s="43">
        <f ca="1"/>
        <v>41000</v>
      </c>
      <c r="K17" s="39">
        <f ca="1"/>
        <v>12.518163908763203</v>
      </c>
      <c r="L17" s="27">
        <f ca="1"/>
        <v>14</v>
      </c>
      <c r="M17" s="27">
        <f ca="1"/>
        <v>-1.4818360912367972</v>
      </c>
      <c r="N17" s="46">
        <f ca="1"/>
        <v>-0.10584543508834265</v>
      </c>
      <c r="O17" s="27">
        <f ca="1"/>
        <v>0</v>
      </c>
      <c r="P17" s="18" t="str">
        <f ca="1"/>
        <v>sigma2</v>
      </c>
      <c r="Q17" s="34" t="str">
        <f ca="1"/>
        <v>0.0341</v>
      </c>
      <c r="R17" s="38" t="str">
        <f ca="1"/>
        <v>0.005</v>
      </c>
      <c r="S17" s="38" t="str">
        <f ca="1"/>
        <v>7.452</v>
      </c>
      <c r="T17" s="38" t="str">
        <f ca="1"/>
        <v>0.000</v>
      </c>
      <c r="U17" s="38" t="str">
        <f ca="1"/>
        <v>0.025</v>
      </c>
      <c r="V17" s="38" t="str">
        <f ca="1"/>
        <v>0.043</v>
      </c>
      <c r="W17" t="str">
        <f ca="1"/>
        <v/>
      </c>
      <c r="X17" t="str">
        <f ca="1"/>
        <v/>
      </c>
      <c r="Y17" t="str">
        <f ca="1"/>
        <v/>
      </c>
      <c r="Z17" t="str">
        <f ca="1"/>
        <v/>
      </c>
    </row>
    <row r="18" spans="1:26" x14ac:dyDescent="0.3">
      <c r="A18" s="11">
        <v>41030</v>
      </c>
      <c r="B18" s="12">
        <v>11</v>
      </c>
      <c r="C18" s="12">
        <v>0</v>
      </c>
      <c r="E18" s="18" t="str">
        <v>25%</v>
      </c>
      <c r="F18" s="41">
        <v>22</v>
      </c>
      <c r="G18" s="42">
        <v>0</v>
      </c>
      <c r="I18" s="44">
        <f ca="1"/>
        <v>16</v>
      </c>
      <c r="J18" s="43">
        <f ca="1"/>
        <v>41030</v>
      </c>
      <c r="K18" s="39">
        <f ca="1"/>
        <v>12.84263205608554</v>
      </c>
      <c r="L18" s="27">
        <f ca="1"/>
        <v>11</v>
      </c>
      <c r="M18" s="27">
        <f ca="1"/>
        <v>1.8426320560855398</v>
      </c>
      <c r="N18" s="46">
        <f ca="1"/>
        <v>0.16751200509868536</v>
      </c>
      <c r="O18" s="27">
        <f ca="1"/>
        <v>0</v>
      </c>
      <c r="P18" s="18" t="str">
        <f ca="1"/>
        <v>Ljung-Box (L1) (Q):</v>
      </c>
      <c r="Q18" s="34">
        <f ca="1"/>
        <v>0.02</v>
      </c>
      <c r="R18" s="18" t="str">
        <f ca="1"/>
        <v>Jarque-Bera (JB):</v>
      </c>
      <c r="S18" s="37">
        <f ca="1"/>
        <v>1.3</v>
      </c>
      <c r="T18" s="14" t="str">
        <f ca="1"/>
        <v/>
      </c>
      <c r="U18" s="14" t="str">
        <f ca="1"/>
        <v/>
      </c>
      <c r="V18" s="14" t="str">
        <f ca="1"/>
        <v/>
      </c>
      <c r="W18" t="str">
        <f ca="1"/>
        <v/>
      </c>
      <c r="X18" t="str">
        <f ca="1"/>
        <v/>
      </c>
      <c r="Y18" t="str">
        <f ca="1"/>
        <v/>
      </c>
      <c r="Z18" t="str">
        <f ca="1"/>
        <v/>
      </c>
    </row>
    <row r="19" spans="1:26" x14ac:dyDescent="0.3">
      <c r="A19" s="11">
        <v>41061</v>
      </c>
      <c r="B19" s="12">
        <v>11</v>
      </c>
      <c r="C19" s="12">
        <v>0</v>
      </c>
      <c r="E19" s="18" t="str">
        <v>50%</v>
      </c>
      <c r="F19" s="41">
        <v>30</v>
      </c>
      <c r="G19" s="42">
        <v>0</v>
      </c>
      <c r="I19" s="44">
        <f ca="1"/>
        <v>17</v>
      </c>
      <c r="J19" s="43">
        <f ca="1"/>
        <v>41061</v>
      </c>
      <c r="K19" s="39">
        <f ca="1"/>
        <v>11.300553633652498</v>
      </c>
      <c r="L19" s="27">
        <f ca="1"/>
        <v>11</v>
      </c>
      <c r="M19" s="27">
        <f ca="1"/>
        <v>0.30055363365249832</v>
      </c>
      <c r="N19" s="46">
        <f ca="1"/>
        <v>2.7323057604772494E-2</v>
      </c>
      <c r="O19" s="27">
        <f ca="1"/>
        <v>0</v>
      </c>
      <c r="P19" s="18" t="str">
        <f ca="1"/>
        <v>Prob(Q):</v>
      </c>
      <c r="Q19" s="35">
        <f ca="1"/>
        <v>0.9</v>
      </c>
      <c r="R19" s="18" t="str">
        <f ca="1"/>
        <v>Prob(JB):</v>
      </c>
      <c r="S19" s="37">
        <f ca="1"/>
        <v>0.52</v>
      </c>
      <c r="T19" s="14" t="str">
        <f ca="1"/>
        <v/>
      </c>
      <c r="U19" s="14" t="str">
        <f ca="1"/>
        <v/>
      </c>
      <c r="V19" s="14" t="str">
        <f ca="1"/>
        <v/>
      </c>
      <c r="W19" t="str">
        <f ca="1"/>
        <v/>
      </c>
      <c r="X19" t="str">
        <f ca="1"/>
        <v/>
      </c>
      <c r="Y19" t="str">
        <f ca="1"/>
        <v/>
      </c>
      <c r="Z19" t="str">
        <f ca="1"/>
        <v/>
      </c>
    </row>
    <row r="20" spans="1:26" x14ac:dyDescent="0.3">
      <c r="A20" s="11">
        <v>41091</v>
      </c>
      <c r="B20" s="12">
        <v>10</v>
      </c>
      <c r="C20" s="12">
        <v>0</v>
      </c>
      <c r="E20" s="18" t="str">
        <v>75%</v>
      </c>
      <c r="F20" s="41">
        <v>42</v>
      </c>
      <c r="G20" s="42">
        <v>0.5</v>
      </c>
      <c r="I20" s="44">
        <f ca="1"/>
        <v>18</v>
      </c>
      <c r="J20" s="43">
        <f ca="1"/>
        <v>41091</v>
      </c>
      <c r="K20" s="39">
        <f ca="1"/>
        <v>11.192095790202687</v>
      </c>
      <c r="L20" s="27">
        <f ca="1"/>
        <v>10</v>
      </c>
      <c r="M20" s="27">
        <f ca="1"/>
        <v>1.1920957902026874</v>
      </c>
      <c r="N20" s="46">
        <f ca="1"/>
        <v>0.11920957902026874</v>
      </c>
      <c r="O20" s="27">
        <f ca="1"/>
        <v>0</v>
      </c>
      <c r="P20" s="18" t="str">
        <f ca="1"/>
        <v>Heteroskedasticity (H):</v>
      </c>
      <c r="Q20" s="35">
        <f ca="1"/>
        <v>1.82</v>
      </c>
      <c r="R20" s="18" t="str">
        <f ca="1"/>
        <v>Skew:</v>
      </c>
      <c r="S20" s="37">
        <f ca="1"/>
        <v>0.12</v>
      </c>
      <c r="T20" s="14" t="str">
        <f ca="1"/>
        <v/>
      </c>
      <c r="U20" s="14" t="str">
        <f ca="1"/>
        <v/>
      </c>
      <c r="V20" s="14" t="str">
        <f ca="1"/>
        <v/>
      </c>
      <c r="W20" t="str">
        <f ca="1"/>
        <v/>
      </c>
      <c r="X20" t="str">
        <f ca="1"/>
        <v/>
      </c>
      <c r="Y20" t="str">
        <f ca="1"/>
        <v/>
      </c>
      <c r="Z20" t="str">
        <f ca="1"/>
        <v/>
      </c>
    </row>
    <row r="21" spans="1:26" x14ac:dyDescent="0.3">
      <c r="A21" s="11">
        <v>41122</v>
      </c>
      <c r="B21" s="12">
        <v>14</v>
      </c>
      <c r="C21" s="12">
        <v>0</v>
      </c>
      <c r="E21" s="18" t="str">
        <v>max</v>
      </c>
      <c r="F21" s="41">
        <v>100</v>
      </c>
      <c r="G21" s="42">
        <v>1</v>
      </c>
      <c r="I21" s="44">
        <f ca="1"/>
        <v>19</v>
      </c>
      <c r="J21" s="43">
        <f ca="1"/>
        <v>41122</v>
      </c>
      <c r="K21" s="39">
        <f ca="1"/>
        <v>13.065979655563197</v>
      </c>
      <c r="L21" s="27">
        <f ca="1"/>
        <v>14</v>
      </c>
      <c r="M21" s="27">
        <f ca="1"/>
        <v>-0.93402034443680293</v>
      </c>
      <c r="N21" s="46">
        <f ca="1"/>
        <v>-6.6715738888343035E-2</v>
      </c>
      <c r="O21" s="27">
        <f ca="1"/>
        <v>0</v>
      </c>
      <c r="P21" s="18" t="str">
        <f ca="1"/>
        <v>Prob(H) (two-sided):</v>
      </c>
      <c r="Q21" s="35">
        <f ca="1"/>
        <v>0.06</v>
      </c>
      <c r="R21" s="31" t="str">
        <f ca="1"/>
        <v>Kurtosis:</v>
      </c>
      <c r="S21" s="37">
        <f ca="1"/>
        <v>3.46</v>
      </c>
      <c r="T21" s="14" t="str">
        <f ca="1"/>
        <v/>
      </c>
      <c r="U21" s="14" t="str">
        <f ca="1"/>
        <v/>
      </c>
      <c r="V21" s="14" t="str">
        <f ca="1"/>
        <v/>
      </c>
      <c r="W21" t="str">
        <f ca="1"/>
        <v/>
      </c>
      <c r="X21" t="str">
        <f ca="1"/>
        <v/>
      </c>
      <c r="Y21" t="str">
        <f ca="1"/>
        <v/>
      </c>
      <c r="Z21" t="str">
        <f ca="1"/>
        <v/>
      </c>
    </row>
    <row r="22" spans="1:26" x14ac:dyDescent="0.3">
      <c r="A22" s="11">
        <v>41153</v>
      </c>
      <c r="B22" s="12">
        <v>18</v>
      </c>
      <c r="C22" s="12">
        <v>0</v>
      </c>
      <c r="G22" s="9"/>
      <c r="I22" s="44">
        <f ca="1"/>
        <v>20</v>
      </c>
      <c r="J22" s="43">
        <f ca="1"/>
        <v>41153</v>
      </c>
      <c r="K22" s="39">
        <f ca="1"/>
        <v>15.901989210442824</v>
      </c>
      <c r="L22" s="27">
        <f ca="1"/>
        <v>18</v>
      </c>
      <c r="M22" s="27">
        <f ca="1"/>
        <v>-2.0980107895571756</v>
      </c>
      <c r="N22" s="46">
        <f ca="1"/>
        <v>-0.11655615497539862</v>
      </c>
      <c r="O22" s="27">
        <f ca="1"/>
        <v>0</v>
      </c>
      <c r="P22" s="18" t="str">
        <f ca="1"/>
        <v/>
      </c>
      <c r="Q22" s="35" t="str">
        <f ca="1"/>
        <v/>
      </c>
      <c r="R22" s="31" t="str">
        <f ca="1"/>
        <v/>
      </c>
      <c r="S22" s="37" t="str">
        <f ca="1"/>
        <v/>
      </c>
      <c r="T22" s="14" t="str">
        <f ca="1"/>
        <v/>
      </c>
      <c r="U22" s="14" t="str">
        <f ca="1"/>
        <v/>
      </c>
      <c r="V22" s="14" t="str">
        <f ca="1"/>
        <v/>
      </c>
      <c r="W22" t="str">
        <f ca="1"/>
        <v/>
      </c>
      <c r="X22" t="str">
        <f ca="1"/>
        <v/>
      </c>
      <c r="Y22" t="str">
        <f ca="1"/>
        <v/>
      </c>
      <c r="Z22" t="str">
        <f ca="1"/>
        <v/>
      </c>
    </row>
    <row r="23" spans="1:26" x14ac:dyDescent="0.3">
      <c r="A23" s="11">
        <v>41183</v>
      </c>
      <c r="B23" s="12">
        <v>24</v>
      </c>
      <c r="C23" s="12">
        <v>1</v>
      </c>
      <c r="G23" s="9"/>
      <c r="I23" s="44">
        <f ca="1"/>
        <v>21</v>
      </c>
      <c r="J23" s="43">
        <f ca="1"/>
        <v>41183</v>
      </c>
      <c r="K23" s="39">
        <f ca="1"/>
        <v>26.264448268193913</v>
      </c>
      <c r="L23" s="27">
        <f ca="1"/>
        <v>24</v>
      </c>
      <c r="M23" s="27">
        <f ca="1"/>
        <v>2.2644482681939131</v>
      </c>
      <c r="N23" s="46">
        <f ca="1"/>
        <v>9.4352011174746453E-2</v>
      </c>
      <c r="O23" s="27">
        <f ca="1"/>
        <v>1</v>
      </c>
      <c r="P23" t="str">
        <f ca="1"/>
        <v/>
      </c>
      <c r="Q23" t="str">
        <f ca="1"/>
        <v/>
      </c>
      <c r="R23" t="str">
        <f ca="1"/>
        <v/>
      </c>
      <c r="S23" t="str">
        <f ca="1"/>
        <v/>
      </c>
      <c r="T23" t="str">
        <f ca="1"/>
        <v/>
      </c>
      <c r="U23" t="str">
        <f ca="1"/>
        <v/>
      </c>
      <c r="V23" t="str">
        <f ca="1"/>
        <v/>
      </c>
      <c r="W23" t="str">
        <f ca="1"/>
        <v/>
      </c>
      <c r="X23" t="str">
        <f ca="1"/>
        <v/>
      </c>
      <c r="Y23" t="str">
        <f ca="1"/>
        <v/>
      </c>
      <c r="Z23" t="str">
        <f ca="1"/>
        <v/>
      </c>
    </row>
    <row r="24" spans="1:26" x14ac:dyDescent="0.3">
      <c r="A24" s="11">
        <v>41214</v>
      </c>
      <c r="B24" s="12">
        <v>27</v>
      </c>
      <c r="C24" s="12">
        <v>1</v>
      </c>
      <c r="G24" s="32"/>
      <c r="I24" s="44">
        <f ca="1"/>
        <v>22</v>
      </c>
      <c r="J24" s="43">
        <f ca="1"/>
        <v>41214</v>
      </c>
      <c r="K24" s="39">
        <f ca="1"/>
        <v>26.120264855943841</v>
      </c>
      <c r="L24" s="27">
        <f ca="1"/>
        <v>27</v>
      </c>
      <c r="M24" s="27">
        <f ca="1"/>
        <v>-0.87973514405615916</v>
      </c>
      <c r="N24" s="46">
        <f ca="1"/>
        <v>-3.2582783113191072E-2</v>
      </c>
      <c r="O24" s="27">
        <f ca="1"/>
        <v>1</v>
      </c>
      <c r="P24" t="str">
        <f ca="1"/>
        <v/>
      </c>
      <c r="Q24" s="33" t="str">
        <f ca="1"/>
        <v/>
      </c>
      <c r="R24" t="str">
        <f ca="1"/>
        <v/>
      </c>
      <c r="S24" t="str">
        <f ca="1"/>
        <v/>
      </c>
      <c r="T24" t="str">
        <f ca="1"/>
        <v/>
      </c>
      <c r="U24" t="str">
        <f ca="1"/>
        <v/>
      </c>
      <c r="V24" t="str">
        <f ca="1"/>
        <v/>
      </c>
      <c r="W24" t="str">
        <f ca="1"/>
        <v/>
      </c>
      <c r="X24" t="str">
        <f ca="1"/>
        <v/>
      </c>
      <c r="Y24" t="str">
        <f ca="1"/>
        <v/>
      </c>
      <c r="Z24" t="str">
        <f ca="1"/>
        <v/>
      </c>
    </row>
    <row r="25" spans="1:26" x14ac:dyDescent="0.3">
      <c r="A25" s="11">
        <v>41244</v>
      </c>
      <c r="B25" s="12">
        <v>32</v>
      </c>
      <c r="C25" s="12">
        <v>1</v>
      </c>
      <c r="I25" s="44">
        <f ca="1"/>
        <v>23</v>
      </c>
      <c r="J25" s="43">
        <f ca="1"/>
        <v>41244</v>
      </c>
      <c r="K25" s="39">
        <f ca="1"/>
        <v>30.750508753560467</v>
      </c>
      <c r="L25" s="27">
        <f ca="1"/>
        <v>32</v>
      </c>
      <c r="M25" s="27">
        <f ca="1"/>
        <v>-1.2494912464395327</v>
      </c>
      <c r="N25" s="46">
        <f ca="1"/>
        <v>-3.9046601451235396E-2</v>
      </c>
      <c r="O25" s="27">
        <f ca="1"/>
        <v>1</v>
      </c>
      <c r="P25" t="str">
        <f ca="1"/>
        <v/>
      </c>
      <c r="Q25" t="str">
        <f ca="1"/>
        <v/>
      </c>
      <c r="R25" t="str">
        <f ca="1"/>
        <v/>
      </c>
      <c r="S25" t="str">
        <f ca="1"/>
        <v/>
      </c>
      <c r="T25" t="str">
        <f ca="1"/>
        <v/>
      </c>
      <c r="U25" t="str">
        <f ca="1"/>
        <v/>
      </c>
      <c r="V25" t="str">
        <f ca="1"/>
        <v/>
      </c>
      <c r="W25" t="str">
        <f ca="1"/>
        <v/>
      </c>
      <c r="X25" t="str">
        <f ca="1"/>
        <v/>
      </c>
      <c r="Y25" t="str">
        <f ca="1"/>
        <v/>
      </c>
      <c r="Z25" t="str">
        <f ca="1"/>
        <v/>
      </c>
    </row>
    <row r="26" spans="1:26" x14ac:dyDescent="0.3">
      <c r="A26" s="11">
        <v>41275</v>
      </c>
      <c r="B26" s="12">
        <v>25</v>
      </c>
      <c r="C26" s="12">
        <v>0</v>
      </c>
      <c r="I26" s="44">
        <f ca="1"/>
        <v>24</v>
      </c>
      <c r="J26" s="43">
        <f ca="1"/>
        <v>41275</v>
      </c>
      <c r="K26" s="39">
        <f ca="1"/>
        <v>23.597223741381676</v>
      </c>
      <c r="L26" s="27">
        <f ca="1"/>
        <v>25</v>
      </c>
      <c r="M26" s="27">
        <f ca="1"/>
        <v>-1.4027762586183243</v>
      </c>
      <c r="N26" s="46">
        <f ca="1"/>
        <v>-5.611105034473296E-2</v>
      </c>
      <c r="O26" s="27">
        <f ca="1"/>
        <v>0</v>
      </c>
      <c r="P26" t="str">
        <f ca="1"/>
        <v/>
      </c>
      <c r="Q26" t="str">
        <f ca="1"/>
        <v/>
      </c>
      <c r="R26" t="str">
        <f ca="1"/>
        <v/>
      </c>
      <c r="S26" t="str">
        <f ca="1"/>
        <v/>
      </c>
      <c r="T26" t="str">
        <f ca="1"/>
        <v/>
      </c>
      <c r="U26" t="str">
        <f ca="1"/>
        <v/>
      </c>
      <c r="V26" t="str">
        <f ca="1"/>
        <v/>
      </c>
      <c r="W26" t="str">
        <f ca="1"/>
        <v/>
      </c>
      <c r="X26" t="str">
        <f ca="1"/>
        <v/>
      </c>
      <c r="Y26" t="str">
        <f ca="1"/>
        <v/>
      </c>
      <c r="Z26" t="str">
        <f ca="1"/>
        <v/>
      </c>
    </row>
    <row r="27" spans="1:26" x14ac:dyDescent="0.3">
      <c r="A27" s="11">
        <v>41306</v>
      </c>
      <c r="B27" s="12">
        <v>22</v>
      </c>
      <c r="C27" s="12">
        <v>0</v>
      </c>
      <c r="I27" s="44">
        <f ca="1"/>
        <v>25</v>
      </c>
      <c r="J27" s="43">
        <f ca="1"/>
        <v>41306</v>
      </c>
      <c r="K27" s="39">
        <f ca="1"/>
        <v>24.659476671939981</v>
      </c>
      <c r="L27" s="27">
        <f ca="1"/>
        <v>22</v>
      </c>
      <c r="M27" s="27">
        <f ca="1"/>
        <v>2.6594766719399807</v>
      </c>
      <c r="N27" s="46">
        <f ca="1"/>
        <v>0.12088530326999902</v>
      </c>
      <c r="O27" s="27">
        <f ca="1"/>
        <v>0</v>
      </c>
      <c r="P27" t="str">
        <f ca="1"/>
        <v/>
      </c>
      <c r="Q27" t="str">
        <f ca="1"/>
        <v/>
      </c>
      <c r="R27" t="str">
        <f ca="1"/>
        <v/>
      </c>
      <c r="S27" t="str">
        <f ca="1"/>
        <v/>
      </c>
      <c r="T27" t="str">
        <f ca="1"/>
        <v/>
      </c>
      <c r="U27" t="str">
        <f ca="1"/>
        <v/>
      </c>
      <c r="V27" t="str">
        <f ca="1"/>
        <v/>
      </c>
      <c r="W27" t="str">
        <f ca="1"/>
        <v/>
      </c>
      <c r="X27" t="str">
        <f ca="1"/>
        <v/>
      </c>
      <c r="Y27" t="str">
        <f ca="1"/>
        <v/>
      </c>
      <c r="Z27" t="str">
        <f ca="1"/>
        <v/>
      </c>
    </row>
    <row r="28" spans="1:26" x14ac:dyDescent="0.3">
      <c r="A28" s="11">
        <v>41334</v>
      </c>
      <c r="B28" s="12">
        <v>21</v>
      </c>
      <c r="C28" s="12">
        <v>0</v>
      </c>
      <c r="I28" s="44">
        <f ca="1"/>
        <v>26</v>
      </c>
      <c r="J28" s="43">
        <f ca="1"/>
        <v>41334</v>
      </c>
      <c r="K28" s="39">
        <f ca="1"/>
        <v>19.17161050621046</v>
      </c>
      <c r="L28" s="27">
        <f ca="1"/>
        <v>21</v>
      </c>
      <c r="M28" s="27">
        <f ca="1"/>
        <v>-1.8283894937895404</v>
      </c>
      <c r="N28" s="46">
        <f ca="1"/>
        <v>-8.7066166370930453E-2</v>
      </c>
      <c r="O28" s="27">
        <f ca="1"/>
        <v>0</v>
      </c>
      <c r="P28" t="str">
        <f ca="1"/>
        <v/>
      </c>
      <c r="Q28" t="str">
        <f ca="1"/>
        <v/>
      </c>
      <c r="R28" t="str">
        <f ca="1"/>
        <v/>
      </c>
      <c r="S28" t="str">
        <f ca="1"/>
        <v/>
      </c>
      <c r="T28" t="str">
        <f ca="1"/>
        <v/>
      </c>
      <c r="U28" t="str">
        <f ca="1"/>
        <v/>
      </c>
      <c r="V28" t="str">
        <f ca="1"/>
        <v/>
      </c>
      <c r="W28" t="str">
        <f ca="1"/>
        <v/>
      </c>
      <c r="X28" t="str">
        <f ca="1"/>
        <v/>
      </c>
      <c r="Y28" t="str">
        <f ca="1"/>
        <v/>
      </c>
      <c r="Z28" t="str">
        <f ca="1"/>
        <v/>
      </c>
    </row>
    <row r="29" spans="1:26" x14ac:dyDescent="0.3">
      <c r="A29" s="11">
        <v>41365</v>
      </c>
      <c r="B29" s="12">
        <v>18</v>
      </c>
      <c r="C29" s="12">
        <v>0</v>
      </c>
      <c r="I29" s="44">
        <f ca="1"/>
        <v>27</v>
      </c>
      <c r="J29" s="43">
        <f ca="1"/>
        <v>41365</v>
      </c>
      <c r="K29" s="39">
        <f ca="1"/>
        <v>18.174778511308002</v>
      </c>
      <c r="L29" s="27">
        <f ca="1"/>
        <v>18</v>
      </c>
      <c r="M29" s="27">
        <f ca="1"/>
        <v>0.17477851130800204</v>
      </c>
      <c r="N29" s="46">
        <f ca="1"/>
        <v>9.7099172948889034E-3</v>
      </c>
      <c r="O29" s="27">
        <f ca="1"/>
        <v>0</v>
      </c>
      <c r="P29" t="str">
        <f ca="1"/>
        <v/>
      </c>
      <c r="Q29" t="str">
        <f ca="1"/>
        <v/>
      </c>
      <c r="R29" t="str">
        <f ca="1"/>
        <v/>
      </c>
      <c r="S29" t="str">
        <f ca="1"/>
        <v/>
      </c>
      <c r="T29" t="str">
        <f ca="1"/>
        <v/>
      </c>
      <c r="U29" t="str">
        <f ca="1"/>
        <v/>
      </c>
      <c r="V29" t="str">
        <f ca="1"/>
        <v/>
      </c>
      <c r="W29" t="str">
        <f ca="1"/>
        <v/>
      </c>
      <c r="X29" t="str">
        <f ca="1"/>
        <v/>
      </c>
      <c r="Y29" t="str">
        <f ca="1"/>
        <v/>
      </c>
      <c r="Z29" t="str">
        <f ca="1"/>
        <v/>
      </c>
    </row>
    <row r="30" spans="1:26" x14ac:dyDescent="0.3">
      <c r="A30" s="11">
        <v>41395</v>
      </c>
      <c r="B30" s="12">
        <v>15</v>
      </c>
      <c r="C30" s="12">
        <v>0</v>
      </c>
      <c r="I30" s="44">
        <f ca="1"/>
        <v>28</v>
      </c>
      <c r="J30" s="43">
        <f ca="1"/>
        <v>41395</v>
      </c>
      <c r="K30" s="39">
        <f ca="1"/>
        <v>15.588074201462181</v>
      </c>
      <c r="L30" s="27">
        <f ca="1"/>
        <v>15</v>
      </c>
      <c r="M30" s="27">
        <f ca="1"/>
        <v>0.58807420146218092</v>
      </c>
      <c r="N30" s="46">
        <f ca="1"/>
        <v>3.9204946764145321E-2</v>
      </c>
      <c r="O30" s="27">
        <f ca="1"/>
        <v>0</v>
      </c>
      <c r="P30" t="str">
        <f ca="1"/>
        <v/>
      </c>
      <c r="Q30" t="str">
        <f ca="1"/>
        <v/>
      </c>
      <c r="R30" t="str">
        <f ca="1"/>
        <v/>
      </c>
      <c r="S30" t="str">
        <f ca="1"/>
        <v/>
      </c>
      <c r="T30" t="str">
        <f ca="1"/>
        <v/>
      </c>
      <c r="U30" t="str">
        <f ca="1"/>
        <v/>
      </c>
      <c r="V30" t="str">
        <f ca="1"/>
        <v/>
      </c>
      <c r="W30" t="str">
        <f ca="1"/>
        <v/>
      </c>
      <c r="X30" t="str">
        <f ca="1"/>
        <v/>
      </c>
      <c r="Y30" t="str">
        <f ca="1"/>
        <v/>
      </c>
      <c r="Z30" t="str">
        <f ca="1"/>
        <v/>
      </c>
    </row>
    <row r="31" spans="1:26" x14ac:dyDescent="0.3">
      <c r="A31" s="11">
        <v>41426</v>
      </c>
      <c r="B31" s="12">
        <v>14</v>
      </c>
      <c r="C31" s="12">
        <v>0</v>
      </c>
      <c r="I31" s="44">
        <f ca="1"/>
        <v>29</v>
      </c>
      <c r="J31" s="43">
        <f ca="1"/>
        <v>41426</v>
      </c>
      <c r="K31" s="39">
        <f ca="1"/>
        <v>15.121804080383695</v>
      </c>
      <c r="L31" s="27">
        <f ca="1"/>
        <v>14</v>
      </c>
      <c r="M31" s="27">
        <f ca="1"/>
        <v>1.1218040803836953</v>
      </c>
      <c r="N31" s="46">
        <f ca="1"/>
        <v>8.0128862884549568E-2</v>
      </c>
      <c r="O31" s="27">
        <f ca="1"/>
        <v>0</v>
      </c>
      <c r="P31" t="str">
        <f ca="1"/>
        <v/>
      </c>
      <c r="Q31" t="str">
        <f ca="1"/>
        <v/>
      </c>
      <c r="R31" t="str">
        <f ca="1"/>
        <v/>
      </c>
      <c r="S31" t="str">
        <f ca="1"/>
        <v/>
      </c>
      <c r="T31" t="str">
        <f ca="1"/>
        <v/>
      </c>
      <c r="U31" t="str">
        <f ca="1"/>
        <v/>
      </c>
      <c r="V31" t="str">
        <f ca="1"/>
        <v/>
      </c>
      <c r="W31" t="str">
        <f ca="1"/>
        <v/>
      </c>
      <c r="X31" t="str">
        <f ca="1"/>
        <v/>
      </c>
      <c r="Y31" t="str">
        <f ca="1"/>
        <v/>
      </c>
      <c r="Z31" t="str">
        <f ca="1"/>
        <v/>
      </c>
    </row>
    <row r="32" spans="1:26" x14ac:dyDescent="0.3">
      <c r="A32" s="11">
        <v>41456</v>
      </c>
      <c r="B32" s="12">
        <v>14</v>
      </c>
      <c r="C32" s="12">
        <v>0</v>
      </c>
      <c r="I32" s="44">
        <f ca="1"/>
        <v>30</v>
      </c>
      <c r="J32" s="43">
        <f ca="1"/>
        <v>41456</v>
      </c>
      <c r="K32" s="39">
        <f ca="1"/>
        <v>13.682207647806775</v>
      </c>
      <c r="L32" s="27">
        <f ca="1"/>
        <v>14</v>
      </c>
      <c r="M32" s="27">
        <f ca="1"/>
        <v>-0.31779235219322466</v>
      </c>
      <c r="N32" s="46">
        <f ca="1"/>
        <v>-2.269945372808746E-2</v>
      </c>
      <c r="O32" s="27">
        <f ca="1"/>
        <v>0</v>
      </c>
      <c r="P32" t="str">
        <f ca="1"/>
        <v/>
      </c>
      <c r="Q32" t="str">
        <f ca="1"/>
        <v/>
      </c>
      <c r="R32" t="str">
        <f ca="1"/>
        <v/>
      </c>
      <c r="S32" t="str">
        <f ca="1"/>
        <v/>
      </c>
      <c r="T32" t="str">
        <f ca="1"/>
        <v/>
      </c>
      <c r="U32" t="str">
        <f ca="1"/>
        <v/>
      </c>
      <c r="V32" t="str">
        <f ca="1"/>
        <v/>
      </c>
      <c r="W32" t="str">
        <f ca="1"/>
        <v/>
      </c>
      <c r="X32" t="str">
        <f ca="1"/>
        <v/>
      </c>
      <c r="Y32" t="str">
        <f ca="1"/>
        <v/>
      </c>
      <c r="Z32" t="str">
        <f ca="1"/>
        <v/>
      </c>
    </row>
    <row r="33" spans="1:26" x14ac:dyDescent="0.3">
      <c r="A33" s="11">
        <v>41487</v>
      </c>
      <c r="B33" s="12">
        <v>19</v>
      </c>
      <c r="C33" s="12">
        <v>0</v>
      </c>
      <c r="I33" s="44">
        <f ca="1"/>
        <v>31</v>
      </c>
      <c r="J33" s="43">
        <f ca="1"/>
        <v>41487</v>
      </c>
      <c r="K33" s="39">
        <f ca="1"/>
        <v>18.301370558166745</v>
      </c>
      <c r="L33" s="27">
        <f ca="1"/>
        <v>19</v>
      </c>
      <c r="M33" s="27">
        <f ca="1"/>
        <v>-0.69862944183325482</v>
      </c>
      <c r="N33" s="46">
        <f ca="1"/>
        <v>-3.676997062280285E-2</v>
      </c>
      <c r="O33" s="27">
        <f ca="1"/>
        <v>0</v>
      </c>
      <c r="P33" t="str">
        <f ca="1"/>
        <v/>
      </c>
      <c r="Q33" t="str">
        <f ca="1"/>
        <v/>
      </c>
      <c r="R33" t="str">
        <f ca="1"/>
        <v/>
      </c>
      <c r="S33" t="str">
        <f ca="1"/>
        <v/>
      </c>
      <c r="T33" t="str">
        <f ca="1"/>
        <v/>
      </c>
      <c r="U33" t="str">
        <f ca="1"/>
        <v/>
      </c>
      <c r="V33" t="str">
        <f ca="1"/>
        <v/>
      </c>
      <c r="W33" t="str">
        <f ca="1"/>
        <v/>
      </c>
      <c r="X33" t="str">
        <f ca="1"/>
        <v/>
      </c>
      <c r="Y33" t="str">
        <f ca="1"/>
        <v/>
      </c>
      <c r="Z33" t="str">
        <f ca="1"/>
        <v/>
      </c>
    </row>
    <row r="34" spans="1:26" x14ac:dyDescent="0.3">
      <c r="A34" s="11">
        <v>41518</v>
      </c>
      <c r="B34" s="12">
        <v>24</v>
      </c>
      <c r="C34" s="12">
        <v>0</v>
      </c>
      <c r="I34" s="44">
        <f ca="1"/>
        <v>32</v>
      </c>
      <c r="J34" s="43">
        <f ca="1"/>
        <v>41518</v>
      </c>
      <c r="K34" s="39">
        <f ca="1"/>
        <v>22.465887122258309</v>
      </c>
      <c r="L34" s="27">
        <f ca="1"/>
        <v>24</v>
      </c>
      <c r="M34" s="27">
        <f ca="1"/>
        <v>-1.5341128777416912</v>
      </c>
      <c r="N34" s="46">
        <f ca="1"/>
        <v>-6.3921369905903802E-2</v>
      </c>
      <c r="O34" s="27">
        <f ca="1"/>
        <v>0</v>
      </c>
      <c r="P34" t="str">
        <f ca="1"/>
        <v/>
      </c>
      <c r="Q34" t="str">
        <f ca="1"/>
        <v/>
      </c>
      <c r="R34" t="str">
        <f ca="1"/>
        <v/>
      </c>
      <c r="S34" t="str">
        <f ca="1"/>
        <v/>
      </c>
      <c r="T34" t="str">
        <f ca="1"/>
        <v/>
      </c>
      <c r="U34" t="str">
        <f ca="1"/>
        <v/>
      </c>
      <c r="V34" t="str">
        <f ca="1"/>
        <v/>
      </c>
      <c r="W34" t="str">
        <f ca="1"/>
        <v/>
      </c>
      <c r="X34" t="str">
        <f ca="1"/>
        <v/>
      </c>
      <c r="Y34" t="str">
        <f ca="1"/>
        <v/>
      </c>
      <c r="Z34" t="str">
        <f ca="1"/>
        <v/>
      </c>
    </row>
    <row r="35" spans="1:26" x14ac:dyDescent="0.3">
      <c r="A35" s="11">
        <v>41548</v>
      </c>
      <c r="B35" s="12">
        <v>30</v>
      </c>
      <c r="C35" s="12">
        <v>1</v>
      </c>
      <c r="I35" s="44">
        <f ca="1"/>
        <v>33</v>
      </c>
      <c r="J35" s="43">
        <f ca="1"/>
        <v>41548</v>
      </c>
      <c r="K35" s="39">
        <f ca="1"/>
        <v>32.936618946829832</v>
      </c>
      <c r="L35" s="27">
        <f ca="1"/>
        <v>30</v>
      </c>
      <c r="M35" s="27">
        <f ca="1"/>
        <v>2.9366189468298316</v>
      </c>
      <c r="N35" s="46">
        <f ca="1"/>
        <v>9.7887298227661068E-2</v>
      </c>
      <c r="O35" s="27">
        <f ca="1"/>
        <v>1</v>
      </c>
      <c r="P35" t="str">
        <f ca="1"/>
        <v/>
      </c>
      <c r="Q35" t="str">
        <f ca="1"/>
        <v/>
      </c>
      <c r="R35" t="str">
        <f ca="1"/>
        <v/>
      </c>
      <c r="S35" t="str">
        <f ca="1"/>
        <v/>
      </c>
      <c r="T35" t="str">
        <f ca="1"/>
        <v/>
      </c>
      <c r="U35" t="str">
        <f ca="1"/>
        <v/>
      </c>
      <c r="V35" t="str">
        <f ca="1"/>
        <v/>
      </c>
      <c r="W35" t="str">
        <f ca="1"/>
        <v/>
      </c>
      <c r="X35" t="str">
        <f ca="1"/>
        <v/>
      </c>
      <c r="Y35" t="str">
        <f ca="1"/>
        <v/>
      </c>
      <c r="Z35" t="str">
        <f ca="1"/>
        <v/>
      </c>
    </row>
    <row r="36" spans="1:26" x14ac:dyDescent="0.3">
      <c r="A36" s="11">
        <v>41579</v>
      </c>
      <c r="B36" s="12">
        <v>39</v>
      </c>
      <c r="C36" s="12">
        <v>1</v>
      </c>
      <c r="I36" s="44">
        <f ca="1"/>
        <v>34</v>
      </c>
      <c r="J36" s="43">
        <f ca="1"/>
        <v>41579</v>
      </c>
      <c r="K36" s="39">
        <f ca="1"/>
        <v>33.18526908950696</v>
      </c>
      <c r="L36" s="27">
        <f ca="1"/>
        <v>39</v>
      </c>
      <c r="M36" s="27">
        <f ca="1"/>
        <v>-5.81473091049304</v>
      </c>
      <c r="N36" s="46">
        <f ca="1"/>
        <v>-0.14909566437161637</v>
      </c>
      <c r="O36" s="27">
        <f ca="1"/>
        <v>1</v>
      </c>
      <c r="P36" t="str">
        <f ca="1"/>
        <v/>
      </c>
      <c r="Q36" t="str">
        <f ca="1"/>
        <v/>
      </c>
      <c r="R36" t="str">
        <f ca="1"/>
        <v/>
      </c>
      <c r="S36" t="str">
        <f ca="1"/>
        <v/>
      </c>
      <c r="T36" t="str">
        <f ca="1"/>
        <v/>
      </c>
      <c r="U36" t="str">
        <f ca="1"/>
        <v/>
      </c>
      <c r="V36" t="str">
        <f ca="1"/>
        <v/>
      </c>
      <c r="W36" t="str">
        <f ca="1"/>
        <v/>
      </c>
      <c r="X36" t="str">
        <f ca="1"/>
        <v/>
      </c>
      <c r="Y36" t="str">
        <f ca="1"/>
        <v/>
      </c>
      <c r="Z36" t="str">
        <f ca="1"/>
        <v/>
      </c>
    </row>
    <row r="37" spans="1:26" x14ac:dyDescent="0.3">
      <c r="A37" s="11">
        <v>41609</v>
      </c>
      <c r="B37" s="12">
        <v>49</v>
      </c>
      <c r="C37" s="12">
        <v>1</v>
      </c>
      <c r="I37" s="44">
        <f ca="1"/>
        <v>35</v>
      </c>
      <c r="J37" s="43">
        <f ca="1"/>
        <v>41609</v>
      </c>
      <c r="K37" s="39">
        <f ca="1"/>
        <v>43.81656911916604</v>
      </c>
      <c r="L37" s="27">
        <f ca="1"/>
        <v>49</v>
      </c>
      <c r="M37" s="27">
        <f ca="1"/>
        <v>-5.18343088083396</v>
      </c>
      <c r="N37" s="46">
        <f ca="1"/>
        <v>-0.10578430369048897</v>
      </c>
      <c r="O37" s="27">
        <f ca="1"/>
        <v>1</v>
      </c>
      <c r="P37" t="str">
        <f ca="1"/>
        <v/>
      </c>
      <c r="Q37" t="str">
        <f ca="1"/>
        <v/>
      </c>
      <c r="R37" t="str">
        <f ca="1"/>
        <v/>
      </c>
      <c r="S37" t="str">
        <f ca="1"/>
        <v/>
      </c>
      <c r="T37" t="str">
        <f ca="1"/>
        <v/>
      </c>
      <c r="U37" t="str">
        <f ca="1"/>
        <v/>
      </c>
      <c r="V37" t="str">
        <f ca="1"/>
        <v/>
      </c>
      <c r="W37" t="str">
        <f ca="1"/>
        <v/>
      </c>
      <c r="X37" t="str">
        <f ca="1"/>
        <v/>
      </c>
      <c r="Y37" t="str">
        <f ca="1"/>
        <v/>
      </c>
      <c r="Z37" t="str">
        <f ca="1"/>
        <v/>
      </c>
    </row>
    <row r="38" spans="1:26" x14ac:dyDescent="0.3">
      <c r="A38" s="11">
        <v>41640</v>
      </c>
      <c r="B38" s="12">
        <v>35</v>
      </c>
      <c r="C38" s="12">
        <v>0</v>
      </c>
      <c r="I38" s="44">
        <f ca="1"/>
        <v>36</v>
      </c>
      <c r="J38" s="43">
        <f ca="1"/>
        <v>41640</v>
      </c>
      <c r="K38" s="39">
        <f ca="1"/>
        <v>37.13008954186499</v>
      </c>
      <c r="L38" s="27">
        <f ca="1"/>
        <v>35</v>
      </c>
      <c r="M38" s="27">
        <f ca="1"/>
        <v>2.1300895418649901</v>
      </c>
      <c r="N38" s="46">
        <f ca="1"/>
        <v>6.0859701196142479E-2</v>
      </c>
      <c r="O38" s="27">
        <f ca="1"/>
        <v>0</v>
      </c>
      <c r="P38" t="str">
        <f ca="1"/>
        <v/>
      </c>
      <c r="Q38" t="str">
        <f ca="1"/>
        <v/>
      </c>
      <c r="R38" t="str">
        <f ca="1"/>
        <v/>
      </c>
      <c r="S38" t="str">
        <f ca="1"/>
        <v/>
      </c>
      <c r="T38" t="str">
        <f ca="1"/>
        <v/>
      </c>
      <c r="U38" t="str">
        <f ca="1"/>
        <v/>
      </c>
      <c r="V38" t="str">
        <f ca="1"/>
        <v/>
      </c>
      <c r="W38" t="str">
        <f ca="1"/>
        <v/>
      </c>
      <c r="X38" t="str">
        <f ca="1"/>
        <v/>
      </c>
      <c r="Y38" t="str">
        <f ca="1"/>
        <v/>
      </c>
      <c r="Z38" t="str">
        <f ca="1"/>
        <v/>
      </c>
    </row>
    <row r="39" spans="1:26" x14ac:dyDescent="0.3">
      <c r="A39" s="11">
        <v>41671</v>
      </c>
      <c r="B39" s="12">
        <v>33</v>
      </c>
      <c r="C39" s="12">
        <v>0</v>
      </c>
      <c r="I39" s="44">
        <f ca="1"/>
        <v>37</v>
      </c>
      <c r="J39" s="43">
        <f ca="1"/>
        <v>41671</v>
      </c>
      <c r="K39" s="39">
        <f ca="1"/>
        <v>33.704037820770758</v>
      </c>
      <c r="L39" s="27">
        <f ca="1"/>
        <v>33</v>
      </c>
      <c r="M39" s="27">
        <f ca="1"/>
        <v>0.70403782077075761</v>
      </c>
      <c r="N39" s="46">
        <f ca="1"/>
        <v>2.1334479417295604E-2</v>
      </c>
      <c r="O39" s="27">
        <f ca="1"/>
        <v>0</v>
      </c>
      <c r="P39" t="str">
        <f ca="1"/>
        <v/>
      </c>
      <c r="Q39" t="str">
        <f ca="1"/>
        <v/>
      </c>
      <c r="R39" t="str">
        <f ca="1"/>
        <v/>
      </c>
      <c r="S39" t="str">
        <f ca="1"/>
        <v/>
      </c>
      <c r="T39" t="str">
        <f ca="1"/>
        <v/>
      </c>
      <c r="U39" t="str">
        <f ca="1"/>
        <v/>
      </c>
      <c r="V39" t="str">
        <f ca="1"/>
        <v/>
      </c>
      <c r="W39" t="str">
        <f ca="1"/>
        <v/>
      </c>
      <c r="X39" t="str">
        <f ca="1"/>
        <v/>
      </c>
      <c r="Y39" t="str">
        <f ca="1"/>
        <v/>
      </c>
      <c r="Z39" t="str">
        <f ca="1"/>
        <v/>
      </c>
    </row>
    <row r="40" spans="1:26" x14ac:dyDescent="0.3">
      <c r="A40" s="11">
        <v>41699</v>
      </c>
      <c r="B40" s="12">
        <v>30</v>
      </c>
      <c r="C40" s="12">
        <v>0</v>
      </c>
      <c r="I40" s="44">
        <f ca="1"/>
        <v>38</v>
      </c>
      <c r="J40" s="43">
        <f ca="1"/>
        <v>41699</v>
      </c>
      <c r="K40" s="39">
        <f ca="1"/>
        <v>29.583878873594351</v>
      </c>
      <c r="L40" s="27">
        <f ca="1"/>
        <v>30</v>
      </c>
      <c r="M40" s="27">
        <f ca="1"/>
        <v>-0.41612112640564902</v>
      </c>
      <c r="N40" s="46">
        <f ca="1"/>
        <v>-1.3870704213521656E-2</v>
      </c>
      <c r="O40" s="27">
        <f ca="1"/>
        <v>0</v>
      </c>
      <c r="P40" t="str">
        <f ca="1"/>
        <v/>
      </c>
      <c r="Q40" t="str">
        <f ca="1"/>
        <v/>
      </c>
      <c r="R40" t="str">
        <f ca="1"/>
        <v/>
      </c>
      <c r="S40" t="str">
        <f ca="1"/>
        <v/>
      </c>
      <c r="T40" t="str">
        <f ca="1"/>
        <v/>
      </c>
      <c r="U40" t="str">
        <f ca="1"/>
        <v/>
      </c>
      <c r="V40" t="str">
        <f ca="1"/>
        <v/>
      </c>
      <c r="W40" t="str">
        <f ca="1"/>
        <v/>
      </c>
      <c r="X40" t="str">
        <f ca="1"/>
        <v/>
      </c>
      <c r="Y40" t="str">
        <f ca="1"/>
        <v/>
      </c>
      <c r="Z40" t="str">
        <f ca="1"/>
        <v/>
      </c>
    </row>
    <row r="41" spans="1:26" x14ac:dyDescent="0.3">
      <c r="A41" s="11">
        <v>41730</v>
      </c>
      <c r="B41" s="12">
        <v>30</v>
      </c>
      <c r="C41" s="12">
        <v>0</v>
      </c>
      <c r="I41" s="44">
        <f ca="1"/>
        <v>39</v>
      </c>
      <c r="J41" s="43">
        <f ca="1"/>
        <v>41730</v>
      </c>
      <c r="K41" s="39">
        <f ca="1"/>
        <v>26.573755189214058</v>
      </c>
      <c r="L41" s="27">
        <f ca="1"/>
        <v>30</v>
      </c>
      <c r="M41" s="27">
        <f ca="1"/>
        <v>-3.426244810785942</v>
      </c>
      <c r="N41" s="46">
        <f ca="1"/>
        <v>-0.11420816035953141</v>
      </c>
      <c r="O41" s="27">
        <f ca="1"/>
        <v>0</v>
      </c>
      <c r="P41" t="str">
        <f ca="1"/>
        <v/>
      </c>
      <c r="Q41" t="str">
        <f ca="1"/>
        <v/>
      </c>
      <c r="R41" t="str">
        <f ca="1"/>
        <v/>
      </c>
      <c r="S41" t="str">
        <f ca="1"/>
        <v/>
      </c>
      <c r="T41" t="str">
        <f ca="1"/>
        <v/>
      </c>
      <c r="U41" t="str">
        <f ca="1"/>
        <v/>
      </c>
      <c r="V41" t="str">
        <f ca="1"/>
        <v/>
      </c>
      <c r="W41" t="str">
        <f ca="1"/>
        <v/>
      </c>
      <c r="X41" t="str">
        <f ca="1"/>
        <v/>
      </c>
      <c r="Y41" t="str">
        <f ca="1"/>
        <v/>
      </c>
      <c r="Z41" t="str">
        <f ca="1"/>
        <v/>
      </c>
    </row>
    <row r="42" spans="1:26" x14ac:dyDescent="0.3">
      <c r="A42" s="11">
        <v>41760</v>
      </c>
      <c r="B42" s="12">
        <v>24</v>
      </c>
      <c r="C42" s="12">
        <v>0</v>
      </c>
      <c r="I42" s="44">
        <f ca="1"/>
        <v>40</v>
      </c>
      <c r="J42" s="43">
        <f ca="1"/>
        <v>41760</v>
      </c>
      <c r="K42" s="39">
        <f ca="1"/>
        <v>25.512022242804132</v>
      </c>
      <c r="L42" s="27">
        <f ca="1"/>
        <v>24</v>
      </c>
      <c r="M42" s="27">
        <f ca="1"/>
        <v>1.5120222428041323</v>
      </c>
      <c r="N42" s="46">
        <f ca="1"/>
        <v>6.300092678350544E-2</v>
      </c>
      <c r="O42" s="27">
        <f ca="1"/>
        <v>0</v>
      </c>
      <c r="P42" t="str">
        <f ca="1"/>
        <v/>
      </c>
      <c r="Q42" t="str">
        <f ca="1"/>
        <v/>
      </c>
      <c r="R42" t="str">
        <f ca="1"/>
        <v/>
      </c>
      <c r="S42" t="str">
        <f ca="1"/>
        <v/>
      </c>
      <c r="T42" t="str">
        <f ca="1"/>
        <v/>
      </c>
      <c r="U42" t="str">
        <f ca="1"/>
        <v/>
      </c>
      <c r="V42" t="str">
        <f ca="1"/>
        <v/>
      </c>
      <c r="W42" t="str">
        <f ca="1"/>
        <v/>
      </c>
      <c r="X42" t="str">
        <f ca="1"/>
        <v/>
      </c>
      <c r="Y42" t="str">
        <f ca="1"/>
        <v/>
      </c>
      <c r="Z42" t="str">
        <f ca="1"/>
        <v/>
      </c>
    </row>
    <row r="43" spans="1:26" x14ac:dyDescent="0.3">
      <c r="A43" s="11">
        <v>41791</v>
      </c>
      <c r="B43" s="12">
        <v>23</v>
      </c>
      <c r="C43" s="12">
        <v>0</v>
      </c>
      <c r="I43" s="44">
        <f ca="1"/>
        <v>41</v>
      </c>
      <c r="J43" s="43">
        <f ca="1"/>
        <v>41791</v>
      </c>
      <c r="K43" s="39">
        <f ca="1"/>
        <v>23.59510361348373</v>
      </c>
      <c r="L43" s="27">
        <f ca="1"/>
        <v>23</v>
      </c>
      <c r="M43" s="27">
        <f ca="1"/>
        <v>0.59510361348372953</v>
      </c>
      <c r="N43" s="46">
        <f ca="1"/>
        <v>2.5874070151466588E-2</v>
      </c>
      <c r="O43" s="27">
        <f ca="1"/>
        <v>0</v>
      </c>
      <c r="P43" t="str">
        <f ca="1"/>
        <v/>
      </c>
      <c r="Q43" t="str">
        <f ca="1"/>
        <v/>
      </c>
      <c r="R43" t="str">
        <f ca="1"/>
        <v/>
      </c>
      <c r="S43" t="str">
        <f ca="1"/>
        <v/>
      </c>
      <c r="T43" t="str">
        <f ca="1"/>
        <v/>
      </c>
      <c r="U43" t="str">
        <f ca="1"/>
        <v/>
      </c>
      <c r="V43" t="str">
        <f ca="1"/>
        <v/>
      </c>
      <c r="W43" t="str">
        <f ca="1"/>
        <v/>
      </c>
      <c r="X43" t="str">
        <f ca="1"/>
        <v/>
      </c>
      <c r="Y43" t="str">
        <f ca="1"/>
        <v/>
      </c>
      <c r="Z43" t="str">
        <f ca="1"/>
        <v/>
      </c>
    </row>
    <row r="44" spans="1:26" x14ac:dyDescent="0.3">
      <c r="A44" s="11">
        <v>41821</v>
      </c>
      <c r="B44" s="12">
        <v>25</v>
      </c>
      <c r="C44" s="12">
        <v>0</v>
      </c>
      <c r="I44" s="44">
        <f ca="1"/>
        <v>42</v>
      </c>
      <c r="J44" s="43">
        <f ca="1"/>
        <v>41821</v>
      </c>
      <c r="K44" s="39">
        <f ca="1"/>
        <v>22.543002635599748</v>
      </c>
      <c r="L44" s="27">
        <f ca="1"/>
        <v>25</v>
      </c>
      <c r="M44" s="27">
        <f ca="1"/>
        <v>-2.4569973644002516</v>
      </c>
      <c r="N44" s="46">
        <f ca="1"/>
        <v>-9.8279894576010052E-2</v>
      </c>
      <c r="O44" s="27">
        <f ca="1"/>
        <v>0</v>
      </c>
      <c r="P44" t="str">
        <f ca="1"/>
        <v/>
      </c>
      <c r="Q44" t="str">
        <f ca="1"/>
        <v/>
      </c>
      <c r="R44" t="str">
        <f ca="1"/>
        <v/>
      </c>
      <c r="S44" t="str">
        <f ca="1"/>
        <v/>
      </c>
      <c r="T44" t="str">
        <f ca="1"/>
        <v/>
      </c>
      <c r="U44" t="str">
        <f ca="1"/>
        <v/>
      </c>
      <c r="V44" t="str">
        <f ca="1"/>
        <v/>
      </c>
      <c r="W44" t="str">
        <f ca="1"/>
        <v/>
      </c>
      <c r="X44" t="str">
        <f ca="1"/>
        <v/>
      </c>
      <c r="Y44" t="str">
        <f ca="1"/>
        <v/>
      </c>
      <c r="Z44" t="str">
        <f ca="1"/>
        <v/>
      </c>
    </row>
    <row r="45" spans="1:26" x14ac:dyDescent="0.3">
      <c r="A45" s="11">
        <v>41852</v>
      </c>
      <c r="B45" s="12">
        <v>28</v>
      </c>
      <c r="C45" s="12">
        <v>0</v>
      </c>
      <c r="I45" s="44">
        <f ca="1"/>
        <v>43</v>
      </c>
      <c r="J45" s="43">
        <f ca="1"/>
        <v>41852</v>
      </c>
      <c r="K45" s="39">
        <f ca="1"/>
        <v>31.531531832462012</v>
      </c>
      <c r="L45" s="27">
        <f ca="1"/>
        <v>28</v>
      </c>
      <c r="M45" s="27">
        <f ca="1"/>
        <v>3.5315318324620115</v>
      </c>
      <c r="N45" s="46">
        <f ca="1"/>
        <v>0.12612613687364327</v>
      </c>
      <c r="O45" s="27">
        <f ca="1"/>
        <v>0</v>
      </c>
      <c r="P45" t="str">
        <f ca="1"/>
        <v/>
      </c>
      <c r="Q45" t="str">
        <f ca="1"/>
        <v/>
      </c>
      <c r="R45" t="str">
        <f ca="1"/>
        <v/>
      </c>
      <c r="S45" t="str">
        <f ca="1"/>
        <v/>
      </c>
      <c r="T45" t="str">
        <f ca="1"/>
        <v/>
      </c>
      <c r="U45" t="str">
        <f ca="1"/>
        <v/>
      </c>
      <c r="V45" t="str">
        <f ca="1"/>
        <v/>
      </c>
      <c r="W45" t="str">
        <f ca="1"/>
        <v/>
      </c>
      <c r="X45" t="str">
        <f ca="1"/>
        <v/>
      </c>
      <c r="Y45" t="str">
        <f ca="1"/>
        <v/>
      </c>
      <c r="Z45" t="str">
        <f ca="1"/>
        <v/>
      </c>
    </row>
    <row r="46" spans="1:26" x14ac:dyDescent="0.3">
      <c r="A46" s="11">
        <v>41883</v>
      </c>
      <c r="B46" s="12">
        <v>33</v>
      </c>
      <c r="C46" s="12">
        <v>0</v>
      </c>
      <c r="I46" s="44">
        <f ca="1"/>
        <v>44</v>
      </c>
      <c r="J46" s="43">
        <f ca="1"/>
        <v>41883</v>
      </c>
      <c r="K46" s="39">
        <f ca="1"/>
        <v>33.97204096324711</v>
      </c>
      <c r="L46" s="27">
        <f ca="1"/>
        <v>33</v>
      </c>
      <c r="M46" s="27">
        <f ca="1"/>
        <v>0.97204096324711031</v>
      </c>
      <c r="N46" s="46">
        <f ca="1"/>
        <v>2.9455786765063996E-2</v>
      </c>
      <c r="O46" s="27">
        <f ca="1"/>
        <v>0</v>
      </c>
      <c r="P46" t="str">
        <f ca="1"/>
        <v/>
      </c>
      <c r="Q46" t="str">
        <f ca="1"/>
        <v/>
      </c>
      <c r="R46" t="str">
        <f ca="1"/>
        <v/>
      </c>
      <c r="S46" t="str">
        <f ca="1"/>
        <v/>
      </c>
      <c r="T46" t="str">
        <f ca="1"/>
        <v/>
      </c>
      <c r="U46" t="str">
        <f ca="1"/>
        <v/>
      </c>
      <c r="V46" t="str">
        <f ca="1"/>
        <v/>
      </c>
      <c r="W46" t="str">
        <f ca="1"/>
        <v/>
      </c>
      <c r="X46" t="str">
        <f ca="1"/>
        <v/>
      </c>
      <c r="Y46" t="str">
        <f ca="1"/>
        <v/>
      </c>
      <c r="Z46" t="str">
        <f ca="1"/>
        <v/>
      </c>
    </row>
    <row r="47" spans="1:26" x14ac:dyDescent="0.3">
      <c r="A47" s="11">
        <v>41913</v>
      </c>
      <c r="B47" s="12">
        <v>38</v>
      </c>
      <c r="C47" s="12">
        <v>1</v>
      </c>
      <c r="I47" s="44">
        <f ca="1"/>
        <v>45</v>
      </c>
      <c r="J47" s="43">
        <f ca="1"/>
        <v>41913</v>
      </c>
      <c r="K47" s="39">
        <f ca="1"/>
        <v>43.537323397452454</v>
      </c>
      <c r="L47" s="27">
        <f ca="1"/>
        <v>38</v>
      </c>
      <c r="M47" s="27">
        <f ca="1"/>
        <v>5.5373233974524538</v>
      </c>
      <c r="N47" s="46">
        <f ca="1"/>
        <v>0.14571903677506448</v>
      </c>
      <c r="O47" s="27">
        <f ca="1"/>
        <v>1</v>
      </c>
      <c r="P47" t="str">
        <f ca="1"/>
        <v/>
      </c>
      <c r="Q47" t="str">
        <f ca="1"/>
        <v/>
      </c>
      <c r="R47" t="str">
        <f ca="1"/>
        <v/>
      </c>
      <c r="S47" t="str">
        <f ca="1"/>
        <v/>
      </c>
      <c r="T47" t="str">
        <f ca="1"/>
        <v/>
      </c>
      <c r="U47" t="str">
        <f ca="1"/>
        <v/>
      </c>
      <c r="V47" t="str">
        <f ca="1"/>
        <v/>
      </c>
      <c r="W47" t="str">
        <f ca="1"/>
        <v/>
      </c>
      <c r="X47" t="str">
        <f ca="1"/>
        <v/>
      </c>
      <c r="Y47" t="str">
        <f ca="1"/>
        <v/>
      </c>
      <c r="Z47" t="str">
        <f ca="1"/>
        <v/>
      </c>
    </row>
    <row r="48" spans="1:26" x14ac:dyDescent="0.3">
      <c r="A48" s="11">
        <v>41944</v>
      </c>
      <c r="B48" s="12">
        <v>46</v>
      </c>
      <c r="C48" s="12">
        <v>1</v>
      </c>
      <c r="I48" s="44">
        <f ca="1"/>
        <v>46</v>
      </c>
      <c r="J48" s="43">
        <f ca="1"/>
        <v>41944</v>
      </c>
      <c r="K48" s="39">
        <f ca="1"/>
        <v>44.909222583613797</v>
      </c>
      <c r="L48" s="27">
        <f ca="1"/>
        <v>46</v>
      </c>
      <c r="M48" s="27">
        <f ca="1"/>
        <v>-1.090777416386203</v>
      </c>
      <c r="N48" s="46">
        <f ca="1"/>
        <v>-2.3712552530134823E-2</v>
      </c>
      <c r="O48" s="27">
        <f ca="1"/>
        <v>1</v>
      </c>
      <c r="P48" t="str">
        <f ca="1"/>
        <v/>
      </c>
      <c r="Q48" t="str">
        <f ca="1"/>
        <v/>
      </c>
      <c r="R48" t="str">
        <f ca="1"/>
        <v/>
      </c>
      <c r="S48" t="str">
        <f ca="1"/>
        <v/>
      </c>
      <c r="T48" t="str">
        <f ca="1"/>
        <v/>
      </c>
      <c r="U48" t="str">
        <f ca="1"/>
        <v/>
      </c>
      <c r="V48" t="str">
        <f ca="1"/>
        <v/>
      </c>
      <c r="W48" t="str">
        <f ca="1"/>
        <v/>
      </c>
      <c r="X48" t="str">
        <f ca="1"/>
        <v/>
      </c>
      <c r="Y48" t="str">
        <f ca="1"/>
        <v/>
      </c>
      <c r="Z48" t="str">
        <f ca="1"/>
        <v/>
      </c>
    </row>
    <row r="49" spans="1:26" x14ac:dyDescent="0.3">
      <c r="A49" s="11">
        <v>41974</v>
      </c>
      <c r="B49" s="12">
        <v>50</v>
      </c>
      <c r="C49" s="12">
        <v>1</v>
      </c>
      <c r="I49" s="44">
        <f ca="1"/>
        <v>47</v>
      </c>
      <c r="J49" s="43">
        <f ca="1"/>
        <v>41974</v>
      </c>
      <c r="K49" s="39">
        <f ca="1"/>
        <v>54.314446255138975</v>
      </c>
      <c r="L49" s="27">
        <f ca="1"/>
        <v>50</v>
      </c>
      <c r="M49" s="27">
        <f ca="1"/>
        <v>4.3144462551389751</v>
      </c>
      <c r="N49" s="46">
        <f ca="1"/>
        <v>8.6288925102779412E-2</v>
      </c>
      <c r="O49" s="27">
        <f ca="1"/>
        <v>1</v>
      </c>
      <c r="P49" t="str">
        <f ca="1"/>
        <v/>
      </c>
      <c r="Q49" t="str">
        <f ca="1"/>
        <v/>
      </c>
      <c r="R49" t="str">
        <f ca="1"/>
        <v/>
      </c>
      <c r="S49" t="str">
        <f ca="1"/>
        <v/>
      </c>
      <c r="T49" t="str">
        <f ca="1"/>
        <v/>
      </c>
      <c r="U49" t="str">
        <f ca="1"/>
        <v/>
      </c>
      <c r="V49" t="str">
        <f ca="1"/>
        <v/>
      </c>
      <c r="W49" t="str">
        <f ca="1"/>
        <v/>
      </c>
      <c r="X49" t="str">
        <f ca="1"/>
        <v/>
      </c>
      <c r="Y49" t="str">
        <f ca="1"/>
        <v/>
      </c>
      <c r="Z49" t="str">
        <f ca="1"/>
        <v/>
      </c>
    </row>
    <row r="50" spans="1:26" x14ac:dyDescent="0.3">
      <c r="A50" s="11">
        <v>42005</v>
      </c>
      <c r="B50" s="12">
        <v>37</v>
      </c>
      <c r="C50" s="12">
        <v>0</v>
      </c>
      <c r="I50" s="44">
        <f ca="1"/>
        <v>48</v>
      </c>
      <c r="J50" s="43">
        <f ca="1"/>
        <v>42005</v>
      </c>
      <c r="K50" s="39">
        <f ca="1"/>
        <v>38.485811508350793</v>
      </c>
      <c r="L50" s="27">
        <f ca="1"/>
        <v>37</v>
      </c>
      <c r="M50" s="27">
        <f ca="1"/>
        <v>1.4858115083507926</v>
      </c>
      <c r="N50" s="46">
        <f ca="1"/>
        <v>4.0157067793264556E-2</v>
      </c>
      <c r="O50" s="27">
        <f ca="1"/>
        <v>0</v>
      </c>
      <c r="P50" t="str">
        <f ca="1"/>
        <v/>
      </c>
      <c r="Q50" t="str">
        <f ca="1"/>
        <v/>
      </c>
      <c r="R50" t="str">
        <f ca="1"/>
        <v/>
      </c>
      <c r="S50" t="str">
        <f ca="1"/>
        <v/>
      </c>
      <c r="T50" t="str">
        <f ca="1"/>
        <v/>
      </c>
      <c r="U50" t="str">
        <f ca="1"/>
        <v/>
      </c>
      <c r="V50" t="str">
        <f ca="1"/>
        <v/>
      </c>
      <c r="W50" t="str">
        <f ca="1"/>
        <v/>
      </c>
      <c r="X50" t="str">
        <f ca="1"/>
        <v/>
      </c>
      <c r="Y50" t="str">
        <f ca="1"/>
        <v/>
      </c>
      <c r="Z50" t="str">
        <f ca="1"/>
        <v/>
      </c>
    </row>
    <row r="51" spans="1:26" x14ac:dyDescent="0.3">
      <c r="A51" s="11">
        <v>42036</v>
      </c>
      <c r="B51" s="12">
        <v>35</v>
      </c>
      <c r="C51" s="12">
        <v>0</v>
      </c>
      <c r="I51" s="44">
        <f ca="1"/>
        <v>49</v>
      </c>
      <c r="J51" s="43">
        <f ca="1"/>
        <v>42036</v>
      </c>
      <c r="K51" s="39">
        <f ca="1"/>
        <v>35.615785637553479</v>
      </c>
      <c r="L51" s="27">
        <f ca="1"/>
        <v>35</v>
      </c>
      <c r="M51" s="27">
        <f ca="1"/>
        <v>0.61578563755347915</v>
      </c>
      <c r="N51" s="46">
        <f ca="1"/>
        <v>1.7593875358670852E-2</v>
      </c>
      <c r="O51" s="27">
        <f ca="1"/>
        <v>0</v>
      </c>
      <c r="P51" t="str">
        <f ca="1"/>
        <v/>
      </c>
      <c r="Q51" t="str">
        <f ca="1"/>
        <v/>
      </c>
      <c r="R51" t="str">
        <f ca="1"/>
        <v/>
      </c>
      <c r="S51" t="str">
        <f ca="1"/>
        <v/>
      </c>
      <c r="T51" t="str">
        <f ca="1"/>
        <v/>
      </c>
      <c r="U51" t="str">
        <f ca="1"/>
        <v/>
      </c>
      <c r="V51" t="str">
        <f ca="1"/>
        <v/>
      </c>
      <c r="W51" t="str">
        <f ca="1"/>
        <v/>
      </c>
      <c r="X51" t="str">
        <f ca="1"/>
        <v/>
      </c>
      <c r="Y51" t="str">
        <f ca="1"/>
        <v/>
      </c>
      <c r="Z51" t="str">
        <f ca="1"/>
        <v/>
      </c>
    </row>
    <row r="52" spans="1:26" x14ac:dyDescent="0.3">
      <c r="A52" s="11">
        <v>42064</v>
      </c>
      <c r="B52" s="12">
        <v>29</v>
      </c>
      <c r="C52" s="12">
        <v>0</v>
      </c>
      <c r="I52" s="44">
        <f ca="1"/>
        <v>50</v>
      </c>
      <c r="J52" s="43">
        <f ca="1"/>
        <v>42064</v>
      </c>
      <c r="K52" s="39">
        <f ca="1"/>
        <v>32.053759423846778</v>
      </c>
      <c r="L52" s="27">
        <f ca="1"/>
        <v>29</v>
      </c>
      <c r="M52" s="27">
        <f ca="1"/>
        <v>3.0537594238467776</v>
      </c>
      <c r="N52" s="46">
        <f ca="1"/>
        <v>0.10530204909816465</v>
      </c>
      <c r="O52" s="27">
        <f ca="1"/>
        <v>0</v>
      </c>
      <c r="P52" t="str">
        <f ca="1"/>
        <v/>
      </c>
      <c r="Q52" t="str">
        <f ca="1"/>
        <v/>
      </c>
      <c r="R52" t="str">
        <f ca="1"/>
        <v/>
      </c>
      <c r="S52" t="str">
        <f ca="1"/>
        <v/>
      </c>
      <c r="T52" t="str">
        <f ca="1"/>
        <v/>
      </c>
      <c r="U52" t="str">
        <f ca="1"/>
        <v/>
      </c>
      <c r="V52" t="str">
        <f ca="1"/>
        <v/>
      </c>
      <c r="W52" t="str">
        <f ca="1"/>
        <v/>
      </c>
      <c r="X52" t="str">
        <f ca="1"/>
        <v/>
      </c>
      <c r="Y52" t="str">
        <f ca="1"/>
        <v/>
      </c>
      <c r="Z52" t="str">
        <f ca="1"/>
        <v/>
      </c>
    </row>
    <row r="53" spans="1:26" x14ac:dyDescent="0.3">
      <c r="A53" s="11">
        <v>42095</v>
      </c>
      <c r="B53" s="12">
        <v>25</v>
      </c>
      <c r="C53" s="12">
        <v>0</v>
      </c>
      <c r="I53" s="44">
        <f ca="1"/>
        <v>51</v>
      </c>
      <c r="J53" s="43">
        <f ca="1"/>
        <v>42095</v>
      </c>
      <c r="K53" s="39">
        <f ca="1"/>
        <v>27.252966112255649</v>
      </c>
      <c r="L53" s="27">
        <f ca="1"/>
        <v>25</v>
      </c>
      <c r="M53" s="27">
        <f ca="1"/>
        <v>2.252966112255649</v>
      </c>
      <c r="N53" s="46">
        <f ca="1"/>
        <v>9.0118644490225996E-2</v>
      </c>
      <c r="O53" s="27">
        <f ca="1"/>
        <v>0</v>
      </c>
      <c r="P53" t="str">
        <f ca="1"/>
        <v/>
      </c>
      <c r="Q53" t="str">
        <f ca="1"/>
        <v/>
      </c>
      <c r="R53" t="str">
        <f ca="1"/>
        <v/>
      </c>
      <c r="S53" t="str">
        <f ca="1"/>
        <v/>
      </c>
      <c r="T53" t="str">
        <f ca="1"/>
        <v/>
      </c>
      <c r="U53" t="str">
        <f ca="1"/>
        <v/>
      </c>
      <c r="V53" t="str">
        <f ca="1"/>
        <v/>
      </c>
      <c r="W53" t="str">
        <f ca="1"/>
        <v/>
      </c>
      <c r="X53" t="str">
        <f ca="1"/>
        <v/>
      </c>
      <c r="Y53" t="str">
        <f ca="1"/>
        <v/>
      </c>
      <c r="Z53" t="str">
        <f ca="1"/>
        <v/>
      </c>
    </row>
    <row r="54" spans="1:26" x14ac:dyDescent="0.3">
      <c r="A54" s="11">
        <v>42125</v>
      </c>
      <c r="B54" s="12">
        <v>21</v>
      </c>
      <c r="C54" s="12">
        <v>0</v>
      </c>
      <c r="I54" s="44">
        <f ca="1"/>
        <v>52</v>
      </c>
      <c r="J54" s="43">
        <f ca="1"/>
        <v>42125</v>
      </c>
      <c r="K54" s="39">
        <f ca="1"/>
        <v>21.507061635552891</v>
      </c>
      <c r="L54" s="27">
        <f ca="1"/>
        <v>21</v>
      </c>
      <c r="M54" s="27">
        <f ca="1"/>
        <v>0.50706163555289052</v>
      </c>
      <c r="N54" s="46">
        <f ca="1"/>
        <v>2.4145792169185221E-2</v>
      </c>
      <c r="O54" s="27">
        <f ca="1"/>
        <v>0</v>
      </c>
      <c r="P54" t="str">
        <f ca="1"/>
        <v/>
      </c>
      <c r="Q54" t="str">
        <f ca="1"/>
        <v/>
      </c>
      <c r="R54" t="str">
        <f ca="1"/>
        <v/>
      </c>
      <c r="S54" t="str">
        <f ca="1"/>
        <v/>
      </c>
      <c r="T54" t="str">
        <f ca="1"/>
        <v/>
      </c>
      <c r="U54" t="str">
        <f ca="1"/>
        <v/>
      </c>
      <c r="V54" t="str">
        <f ca="1"/>
        <v/>
      </c>
      <c r="W54" t="str">
        <f ca="1"/>
        <v/>
      </c>
      <c r="X54" t="str">
        <f ca="1"/>
        <v/>
      </c>
      <c r="Y54" t="str">
        <f ca="1"/>
        <v/>
      </c>
      <c r="Z54" t="str">
        <f ca="1"/>
        <v/>
      </c>
    </row>
    <row r="55" spans="1:26" x14ac:dyDescent="0.3">
      <c r="A55" s="11">
        <v>42156</v>
      </c>
      <c r="B55" s="12">
        <v>19</v>
      </c>
      <c r="C55" s="12">
        <v>0</v>
      </c>
      <c r="I55" s="44">
        <f ca="1"/>
        <v>53</v>
      </c>
      <c r="J55" s="43">
        <f ca="1"/>
        <v>42156</v>
      </c>
      <c r="K55" s="39">
        <f ca="1"/>
        <v>20.60229485760075</v>
      </c>
      <c r="L55" s="27">
        <f ca="1"/>
        <v>19</v>
      </c>
      <c r="M55" s="27">
        <f ca="1"/>
        <v>1.6022948576007501</v>
      </c>
      <c r="N55" s="46">
        <f ca="1"/>
        <v>8.4331308294776308E-2</v>
      </c>
      <c r="O55" s="27">
        <f ca="1"/>
        <v>0</v>
      </c>
      <c r="P55" t="str">
        <f ca="1"/>
        <v/>
      </c>
      <c r="Q55" t="str">
        <f ca="1"/>
        <v/>
      </c>
      <c r="R55" t="str">
        <f ca="1"/>
        <v/>
      </c>
      <c r="S55" t="str">
        <f ca="1"/>
        <v/>
      </c>
      <c r="T55" t="str">
        <f ca="1"/>
        <v/>
      </c>
      <c r="U55" t="str">
        <f ca="1"/>
        <v/>
      </c>
      <c r="V55" t="str">
        <f ca="1"/>
        <v/>
      </c>
      <c r="W55" t="str">
        <f ca="1"/>
        <v/>
      </c>
      <c r="X55" t="str">
        <f ca="1"/>
        <v/>
      </c>
      <c r="Y55" t="str">
        <f ca="1"/>
        <v/>
      </c>
      <c r="Z55" t="str">
        <f ca="1"/>
        <v/>
      </c>
    </row>
    <row r="56" spans="1:26" x14ac:dyDescent="0.3">
      <c r="A56" s="11">
        <v>42186</v>
      </c>
      <c r="B56" s="12">
        <v>20</v>
      </c>
      <c r="C56" s="12">
        <v>0</v>
      </c>
      <c r="I56" s="44">
        <f ca="1"/>
        <v>54</v>
      </c>
      <c r="J56" s="43">
        <f ca="1"/>
        <v>42186</v>
      </c>
      <c r="K56" s="39">
        <f ca="1"/>
        <v>19.590257686809274</v>
      </c>
      <c r="L56" s="27">
        <f ca="1"/>
        <v>20</v>
      </c>
      <c r="M56" s="27">
        <f ca="1"/>
        <v>-0.40974231319072629</v>
      </c>
      <c r="N56" s="46">
        <f ca="1"/>
        <v>-2.0487115659536315E-2</v>
      </c>
      <c r="O56" s="27">
        <f ca="1"/>
        <v>0</v>
      </c>
      <c r="P56" t="str">
        <f ca="1"/>
        <v/>
      </c>
      <c r="Q56" t="str">
        <f ca="1"/>
        <v/>
      </c>
      <c r="R56" t="str">
        <f ca="1"/>
        <v/>
      </c>
      <c r="S56" t="str">
        <f ca="1"/>
        <v/>
      </c>
      <c r="T56" t="str">
        <f ca="1"/>
        <v/>
      </c>
      <c r="U56" t="str">
        <f ca="1"/>
        <v/>
      </c>
      <c r="V56" t="str">
        <f ca="1"/>
        <v/>
      </c>
      <c r="W56" t="str">
        <f ca="1"/>
        <v/>
      </c>
      <c r="X56" t="str">
        <f ca="1"/>
        <v/>
      </c>
      <c r="Y56" t="str">
        <f ca="1"/>
        <v/>
      </c>
      <c r="Z56" t="str">
        <f ca="1"/>
        <v/>
      </c>
    </row>
    <row r="57" spans="1:26" x14ac:dyDescent="0.3">
      <c r="A57" s="11">
        <v>42217</v>
      </c>
      <c r="B57" s="12">
        <v>25</v>
      </c>
      <c r="C57" s="12">
        <v>0</v>
      </c>
      <c r="I57" s="44">
        <f ca="1"/>
        <v>55</v>
      </c>
      <c r="J57" s="43">
        <f ca="1"/>
        <v>42217</v>
      </c>
      <c r="K57" s="39">
        <f ca="1"/>
        <v>24.748977122816761</v>
      </c>
      <c r="L57" s="27">
        <f ca="1"/>
        <v>25</v>
      </c>
      <c r="M57" s="27">
        <f ca="1"/>
        <v>-0.25102287718323879</v>
      </c>
      <c r="N57" s="46">
        <f ca="1"/>
        <v>-1.0040915087329516E-2</v>
      </c>
      <c r="O57" s="27">
        <f ca="1"/>
        <v>0</v>
      </c>
      <c r="P57" t="str">
        <f ca="1"/>
        <v/>
      </c>
      <c r="Q57" t="str">
        <f ca="1"/>
        <v/>
      </c>
      <c r="R57" t="str">
        <f ca="1"/>
        <v/>
      </c>
      <c r="S57" t="str">
        <f ca="1"/>
        <v/>
      </c>
      <c r="T57" t="str">
        <f ca="1"/>
        <v/>
      </c>
      <c r="U57" t="str">
        <f ca="1"/>
        <v/>
      </c>
      <c r="V57" t="str">
        <f ca="1"/>
        <v/>
      </c>
      <c r="W57" t="str">
        <f ca="1"/>
        <v/>
      </c>
      <c r="X57" t="str">
        <f ca="1"/>
        <v/>
      </c>
      <c r="Y57" t="str">
        <f ca="1"/>
        <v/>
      </c>
      <c r="Z57" t="str">
        <f ca="1"/>
        <v/>
      </c>
    </row>
    <row r="58" spans="1:26" x14ac:dyDescent="0.3">
      <c r="A58" s="11">
        <v>42248</v>
      </c>
      <c r="B58" s="12">
        <v>27</v>
      </c>
      <c r="C58" s="12">
        <v>0</v>
      </c>
      <c r="I58" s="44">
        <f ca="1"/>
        <v>56</v>
      </c>
      <c r="J58" s="43">
        <f ca="1"/>
        <v>42248</v>
      </c>
      <c r="K58" s="39">
        <f ca="1"/>
        <v>29.865844807404258</v>
      </c>
      <c r="L58" s="27">
        <f ca="1"/>
        <v>27</v>
      </c>
      <c r="M58" s="27">
        <f ca="1"/>
        <v>2.8658448074042582</v>
      </c>
      <c r="N58" s="46">
        <f ca="1"/>
        <v>0.10614240027423172</v>
      </c>
      <c r="O58" s="27">
        <f ca="1"/>
        <v>0</v>
      </c>
      <c r="P58" t="str">
        <f ca="1"/>
        <v/>
      </c>
      <c r="Q58" t="str">
        <f ca="1"/>
        <v/>
      </c>
      <c r="R58" t="str">
        <f ca="1"/>
        <v/>
      </c>
      <c r="S58" t="str">
        <f ca="1"/>
        <v/>
      </c>
      <c r="T58" t="str">
        <f ca="1"/>
        <v/>
      </c>
      <c r="U58" t="str">
        <f ca="1"/>
        <v/>
      </c>
      <c r="V58" t="str">
        <f ca="1"/>
        <v/>
      </c>
      <c r="W58" t="str">
        <f ca="1"/>
        <v/>
      </c>
      <c r="X58" t="str">
        <f ca="1"/>
        <v/>
      </c>
      <c r="Y58" t="str">
        <f ca="1"/>
        <v/>
      </c>
      <c r="Z58" t="str">
        <f ca="1"/>
        <v/>
      </c>
    </row>
    <row r="59" spans="1:26" x14ac:dyDescent="0.3">
      <c r="A59" s="11">
        <v>42278</v>
      </c>
      <c r="B59" s="12">
        <v>36</v>
      </c>
      <c r="C59" s="12">
        <v>1</v>
      </c>
      <c r="I59" s="44">
        <f ca="1"/>
        <v>57</v>
      </c>
      <c r="J59" s="43">
        <f ca="1"/>
        <v>42278</v>
      </c>
      <c r="K59" s="39">
        <f ca="1"/>
        <v>34.640218234079512</v>
      </c>
      <c r="L59" s="27">
        <f ca="1"/>
        <v>36</v>
      </c>
      <c r="M59" s="27">
        <f ca="1"/>
        <v>-1.3597817659204878</v>
      </c>
      <c r="N59" s="46">
        <f ca="1"/>
        <v>-3.7771715720013588E-2</v>
      </c>
      <c r="O59" s="27">
        <f ca="1"/>
        <v>1</v>
      </c>
      <c r="P59" t="str">
        <f ca="1"/>
        <v/>
      </c>
      <c r="Q59" t="str">
        <f ca="1"/>
        <v/>
      </c>
      <c r="R59" t="str">
        <f ca="1"/>
        <v/>
      </c>
      <c r="S59" t="str">
        <f ca="1"/>
        <v/>
      </c>
      <c r="T59" t="str">
        <f ca="1"/>
        <v/>
      </c>
      <c r="U59" t="str">
        <f ca="1"/>
        <v/>
      </c>
      <c r="V59" t="str">
        <f ca="1"/>
        <v/>
      </c>
      <c r="W59" t="str">
        <f ca="1"/>
        <v/>
      </c>
      <c r="X59" t="str">
        <f ca="1"/>
        <v/>
      </c>
      <c r="Y59" t="str">
        <f ca="1"/>
        <v/>
      </c>
      <c r="Z59" t="str">
        <f ca="1"/>
        <v/>
      </c>
    </row>
    <row r="60" spans="1:26" x14ac:dyDescent="0.3">
      <c r="A60" s="11">
        <v>42309</v>
      </c>
      <c r="B60" s="12">
        <v>44</v>
      </c>
      <c r="C60" s="12">
        <v>1</v>
      </c>
      <c r="I60" s="44">
        <f ca="1"/>
        <v>58</v>
      </c>
      <c r="J60" s="43">
        <f ca="1"/>
        <v>42309</v>
      </c>
      <c r="K60" s="39">
        <f ca="1"/>
        <v>42.527174034850297</v>
      </c>
      <c r="L60" s="27">
        <f ca="1"/>
        <v>44</v>
      </c>
      <c r="M60" s="27">
        <f ca="1"/>
        <v>-1.4728259651497027</v>
      </c>
      <c r="N60" s="46">
        <f ca="1"/>
        <v>-3.3473317389766E-2</v>
      </c>
      <c r="O60" s="27">
        <f ca="1"/>
        <v>1</v>
      </c>
      <c r="P60" t="str">
        <f ca="1"/>
        <v/>
      </c>
      <c r="Q60" t="str">
        <f ca="1"/>
        <v/>
      </c>
      <c r="R60" t="str">
        <f ca="1"/>
        <v/>
      </c>
      <c r="S60" t="str">
        <f ca="1"/>
        <v/>
      </c>
      <c r="T60" t="str">
        <f ca="1"/>
        <v/>
      </c>
      <c r="U60" t="str">
        <f ca="1"/>
        <v/>
      </c>
      <c r="V60" t="str">
        <f ca="1"/>
        <v/>
      </c>
      <c r="W60" t="str">
        <f ca="1"/>
        <v/>
      </c>
      <c r="X60" t="str">
        <f ca="1"/>
        <v/>
      </c>
      <c r="Y60" t="str">
        <f ca="1"/>
        <v/>
      </c>
      <c r="Z60" t="str">
        <f ca="1"/>
        <v/>
      </c>
    </row>
    <row r="61" spans="1:26" x14ac:dyDescent="0.3">
      <c r="A61" s="11">
        <v>42339</v>
      </c>
      <c r="B61" s="12">
        <v>47</v>
      </c>
      <c r="C61" s="12">
        <v>1</v>
      </c>
      <c r="I61" s="44">
        <f ca="1"/>
        <v>59</v>
      </c>
      <c r="J61" s="43">
        <f ca="1"/>
        <v>42339</v>
      </c>
      <c r="K61" s="39">
        <f ca="1"/>
        <v>50.351024743362053</v>
      </c>
      <c r="L61" s="27">
        <f ca="1"/>
        <v>47</v>
      </c>
      <c r="M61" s="27">
        <f ca="1"/>
        <v>3.3510247433620535</v>
      </c>
      <c r="N61" s="46">
        <f ca="1"/>
        <v>7.1298398794937379E-2</v>
      </c>
      <c r="O61" s="27">
        <f ca="1"/>
        <v>1</v>
      </c>
      <c r="P61" t="str">
        <f ca="1"/>
        <v/>
      </c>
      <c r="Q61" t="str">
        <f ca="1"/>
        <v/>
      </c>
      <c r="R61" t="str">
        <f ca="1"/>
        <v/>
      </c>
      <c r="S61" t="str">
        <f ca="1"/>
        <v/>
      </c>
      <c r="T61" t="str">
        <f ca="1"/>
        <v/>
      </c>
      <c r="U61" t="str">
        <f ca="1"/>
        <v/>
      </c>
      <c r="V61" t="str">
        <f ca="1"/>
        <v/>
      </c>
      <c r="W61" t="str">
        <f ca="1"/>
        <v/>
      </c>
      <c r="X61" t="str">
        <f ca="1"/>
        <v/>
      </c>
      <c r="Y61" t="str">
        <f ca="1"/>
        <v/>
      </c>
      <c r="Z61" t="str">
        <f ca="1"/>
        <v/>
      </c>
    </row>
    <row r="62" spans="1:26" x14ac:dyDescent="0.3">
      <c r="A62" s="11">
        <v>42370</v>
      </c>
      <c r="B62" s="12">
        <v>37</v>
      </c>
      <c r="C62" s="12">
        <v>0</v>
      </c>
      <c r="I62" s="44">
        <f ca="1"/>
        <v>60</v>
      </c>
      <c r="J62" s="43">
        <f ca="1"/>
        <v>42370</v>
      </c>
      <c r="K62" s="39">
        <f ca="1"/>
        <v>35.32893652020892</v>
      </c>
      <c r="L62" s="27">
        <f ca="1"/>
        <v>37</v>
      </c>
      <c r="M62" s="27">
        <f ca="1"/>
        <v>-1.6710634797910799</v>
      </c>
      <c r="N62" s="46">
        <f ca="1"/>
        <v>-4.5163877832191335E-2</v>
      </c>
      <c r="O62" s="27">
        <f ca="1"/>
        <v>0</v>
      </c>
      <c r="P62" t="str">
        <f ca="1"/>
        <v/>
      </c>
      <c r="Q62" t="str">
        <f ca="1"/>
        <v/>
      </c>
      <c r="R62" t="str">
        <f ca="1"/>
        <v/>
      </c>
      <c r="S62" t="str">
        <f ca="1"/>
        <v/>
      </c>
      <c r="T62" t="str">
        <f ca="1"/>
        <v/>
      </c>
      <c r="U62" t="str">
        <f ca="1"/>
        <v/>
      </c>
      <c r="V62" t="str">
        <f ca="1"/>
        <v/>
      </c>
      <c r="W62" t="str">
        <f ca="1"/>
        <v/>
      </c>
      <c r="X62" t="str">
        <f ca="1"/>
        <v/>
      </c>
      <c r="Y62" t="str">
        <f ca="1"/>
        <v/>
      </c>
      <c r="Z62" t="str">
        <f ca="1"/>
        <v/>
      </c>
    </row>
    <row r="63" spans="1:26" x14ac:dyDescent="0.3">
      <c r="A63" s="11">
        <v>42401</v>
      </c>
      <c r="B63" s="12">
        <v>33</v>
      </c>
      <c r="C63" s="12">
        <v>0</v>
      </c>
      <c r="I63" s="44">
        <f ca="1"/>
        <v>61</v>
      </c>
      <c r="J63" s="43">
        <f ca="1"/>
        <v>42401</v>
      </c>
      <c r="K63" s="39">
        <f ca="1"/>
        <v>35.045112286147017</v>
      </c>
      <c r="L63" s="27">
        <f ca="1"/>
        <v>33</v>
      </c>
      <c r="M63" s="27">
        <f ca="1"/>
        <v>2.0451122861470168</v>
      </c>
      <c r="N63" s="46">
        <f ca="1"/>
        <v>6.1973099580212576E-2</v>
      </c>
      <c r="O63" s="27">
        <f ca="1"/>
        <v>0</v>
      </c>
      <c r="P63" t="str">
        <f ca="1"/>
        <v/>
      </c>
      <c r="Q63" t="str">
        <f ca="1"/>
        <v/>
      </c>
      <c r="R63" t="str">
        <f ca="1"/>
        <v/>
      </c>
      <c r="S63" t="str">
        <f ca="1"/>
        <v/>
      </c>
      <c r="T63" t="str">
        <f ca="1"/>
        <v/>
      </c>
      <c r="U63" t="str">
        <f ca="1"/>
        <v/>
      </c>
      <c r="V63" t="str">
        <f ca="1"/>
        <v/>
      </c>
      <c r="W63" t="str">
        <f ca="1"/>
        <v/>
      </c>
      <c r="X63" t="str">
        <f ca="1"/>
        <v/>
      </c>
      <c r="Y63" t="str">
        <f ca="1"/>
        <v/>
      </c>
      <c r="Z63" t="str">
        <f ca="1"/>
        <v/>
      </c>
    </row>
    <row r="64" spans="1:26" x14ac:dyDescent="0.3">
      <c r="A64" s="11">
        <v>42430</v>
      </c>
      <c r="B64" s="12">
        <v>27</v>
      </c>
      <c r="C64" s="12">
        <v>0</v>
      </c>
      <c r="I64" s="44">
        <f ca="1"/>
        <v>62</v>
      </c>
      <c r="J64" s="43">
        <f ca="1"/>
        <v>42430</v>
      </c>
      <c r="K64" s="39">
        <f ca="1"/>
        <v>29.470560312180538</v>
      </c>
      <c r="L64" s="27">
        <f ca="1"/>
        <v>27</v>
      </c>
      <c r="M64" s="27">
        <f ca="1"/>
        <v>2.4705603121805382</v>
      </c>
      <c r="N64" s="46">
        <f ca="1"/>
        <v>9.1502233784464426E-2</v>
      </c>
      <c r="O64" s="27">
        <f ca="1"/>
        <v>0</v>
      </c>
      <c r="P64" t="str">
        <f ca="1"/>
        <v/>
      </c>
      <c r="Q64" t="str">
        <f ca="1"/>
        <v/>
      </c>
      <c r="R64" t="str">
        <f ca="1"/>
        <v/>
      </c>
      <c r="S64" t="str">
        <f ca="1"/>
        <v/>
      </c>
      <c r="T64" t="str">
        <f ca="1"/>
        <v/>
      </c>
      <c r="U64" t="str">
        <f ca="1"/>
        <v/>
      </c>
      <c r="V64" t="str">
        <f ca="1"/>
        <v/>
      </c>
      <c r="W64" t="str">
        <f ca="1"/>
        <v/>
      </c>
      <c r="X64" t="str">
        <f ca="1"/>
        <v/>
      </c>
      <c r="Y64" t="str">
        <f ca="1"/>
        <v/>
      </c>
      <c r="Z64" t="str">
        <f ca="1"/>
        <v/>
      </c>
    </row>
    <row r="65" spans="1:26" x14ac:dyDescent="0.3">
      <c r="A65" s="11">
        <v>42461</v>
      </c>
      <c r="B65" s="12">
        <v>23</v>
      </c>
      <c r="C65" s="12">
        <v>0</v>
      </c>
      <c r="I65" s="44">
        <f ca="1"/>
        <v>63</v>
      </c>
      <c r="J65" s="43">
        <f ca="1"/>
        <v>42461</v>
      </c>
      <c r="K65" s="39">
        <f ca="1"/>
        <v>25.05900276651213</v>
      </c>
      <c r="L65" s="27">
        <f ca="1"/>
        <v>23</v>
      </c>
      <c r="M65" s="27">
        <f ca="1"/>
        <v>2.0590027665121298</v>
      </c>
      <c r="N65" s="46">
        <f ca="1"/>
        <v>8.9521859413570937E-2</v>
      </c>
      <c r="O65" s="27">
        <f ca="1"/>
        <v>0</v>
      </c>
      <c r="P65" t="str">
        <f ca="1"/>
        <v/>
      </c>
      <c r="Q65" t="str">
        <f ca="1"/>
        <v/>
      </c>
      <c r="R65" t="str">
        <f ca="1"/>
        <v/>
      </c>
      <c r="S65" t="str">
        <f ca="1"/>
        <v/>
      </c>
      <c r="T65" t="str">
        <f ca="1"/>
        <v/>
      </c>
      <c r="U65" t="str">
        <f ca="1"/>
        <v/>
      </c>
      <c r="V65" t="str">
        <f ca="1"/>
        <v/>
      </c>
      <c r="W65" t="str">
        <f ca="1"/>
        <v/>
      </c>
      <c r="X65" t="str">
        <f ca="1"/>
        <v/>
      </c>
      <c r="Y65" t="str">
        <f ca="1"/>
        <v/>
      </c>
      <c r="Z65" t="str">
        <f ca="1"/>
        <v/>
      </c>
    </row>
    <row r="66" spans="1:26" x14ac:dyDescent="0.3">
      <c r="A66" s="11">
        <v>42491</v>
      </c>
      <c r="B66" s="12">
        <v>22</v>
      </c>
      <c r="C66" s="12">
        <v>0</v>
      </c>
      <c r="I66" s="44">
        <f ca="1"/>
        <v>64</v>
      </c>
      <c r="J66" s="43">
        <f ca="1"/>
        <v>42491</v>
      </c>
      <c r="K66" s="39">
        <f ca="1"/>
        <v>19.686675686616883</v>
      </c>
      <c r="L66" s="27">
        <f ca="1"/>
        <v>22</v>
      </c>
      <c r="M66" s="27">
        <f ca="1"/>
        <v>-2.3133243133831165</v>
      </c>
      <c r="N66" s="46">
        <f ca="1"/>
        <v>-0.10515110515377801</v>
      </c>
      <c r="O66" s="27">
        <f ca="1"/>
        <v>0</v>
      </c>
      <c r="P66" t="str">
        <f ca="1"/>
        <v/>
      </c>
      <c r="Q66" t="str">
        <f ca="1"/>
        <v/>
      </c>
      <c r="R66" t="str">
        <f ca="1"/>
        <v/>
      </c>
      <c r="S66" t="str">
        <f ca="1"/>
        <v/>
      </c>
      <c r="T66" t="str">
        <f ca="1"/>
        <v/>
      </c>
      <c r="U66" t="str">
        <f ca="1"/>
        <v/>
      </c>
      <c r="V66" t="str">
        <f ca="1"/>
        <v/>
      </c>
      <c r="W66" t="str">
        <f ca="1"/>
        <v/>
      </c>
      <c r="X66" t="str">
        <f ca="1"/>
        <v/>
      </c>
      <c r="Y66" t="str">
        <f ca="1"/>
        <v/>
      </c>
      <c r="Z66" t="str">
        <f ca="1"/>
        <v/>
      </c>
    </row>
    <row r="67" spans="1:26" x14ac:dyDescent="0.3">
      <c r="A67" s="11">
        <v>42522</v>
      </c>
      <c r="B67" s="12">
        <v>21</v>
      </c>
      <c r="C67" s="12">
        <v>0</v>
      </c>
      <c r="I67" s="44">
        <f ca="1"/>
        <v>65</v>
      </c>
      <c r="J67" s="43">
        <f ca="1"/>
        <v>42522</v>
      </c>
      <c r="K67" s="39">
        <f ca="1"/>
        <v>20.698884020659399</v>
      </c>
      <c r="L67" s="27">
        <f ca="1"/>
        <v>21</v>
      </c>
      <c r="M67" s="27">
        <f ca="1"/>
        <v>-0.30111597934060086</v>
      </c>
      <c r="N67" s="46">
        <f ca="1"/>
        <v>-1.4338856159076263E-2</v>
      </c>
      <c r="O67" s="27">
        <f ca="1"/>
        <v>0</v>
      </c>
      <c r="P67" t="str">
        <f ca="1"/>
        <v/>
      </c>
      <c r="Q67" t="str">
        <f ca="1"/>
        <v/>
      </c>
      <c r="R67" t="str">
        <f ca="1"/>
        <v/>
      </c>
      <c r="S67" t="str">
        <f ca="1"/>
        <v/>
      </c>
      <c r="T67" t="str">
        <f ca="1"/>
        <v/>
      </c>
      <c r="U67" t="str">
        <f ca="1"/>
        <v/>
      </c>
      <c r="V67" t="str">
        <f ca="1"/>
        <v/>
      </c>
      <c r="W67" t="str">
        <f ca="1"/>
        <v/>
      </c>
      <c r="X67" t="str">
        <f ca="1"/>
        <v/>
      </c>
      <c r="Y67" t="str">
        <f ca="1"/>
        <v/>
      </c>
      <c r="Z67" t="str">
        <f ca="1"/>
        <v/>
      </c>
    </row>
    <row r="68" spans="1:26" x14ac:dyDescent="0.3">
      <c r="A68" s="11">
        <v>42552</v>
      </c>
      <c r="B68" s="12">
        <v>19</v>
      </c>
      <c r="C68" s="12">
        <v>0</v>
      </c>
      <c r="I68" s="44">
        <f ca="1"/>
        <v>66</v>
      </c>
      <c r="J68" s="43">
        <f ca="1"/>
        <v>42552</v>
      </c>
      <c r="K68" s="39">
        <f ca="1"/>
        <v>21.557308265408214</v>
      </c>
      <c r="L68" s="27">
        <f ca="1"/>
        <v>19</v>
      </c>
      <c r="M68" s="27">
        <f ca="1"/>
        <v>2.5573082654082135</v>
      </c>
      <c r="N68" s="46">
        <f ca="1"/>
        <v>0.13459517186359027</v>
      </c>
      <c r="O68" s="27">
        <f ca="1"/>
        <v>0</v>
      </c>
      <c r="P68" t="str">
        <f ca="1"/>
        <v/>
      </c>
      <c r="Q68" t="str">
        <f ca="1"/>
        <v/>
      </c>
      <c r="R68" t="str">
        <f ca="1"/>
        <v/>
      </c>
      <c r="S68" t="str">
        <f ca="1"/>
        <v/>
      </c>
      <c r="T68" t="str">
        <f ca="1"/>
        <v/>
      </c>
      <c r="U68" t="str">
        <f ca="1"/>
        <v/>
      </c>
      <c r="V68" t="str">
        <f ca="1"/>
        <v/>
      </c>
      <c r="W68" t="str">
        <f ca="1"/>
        <v/>
      </c>
      <c r="X68" t="str">
        <f ca="1"/>
        <v/>
      </c>
      <c r="Y68" t="str">
        <f ca="1"/>
        <v/>
      </c>
      <c r="Z68" t="str">
        <f ca="1"/>
        <v/>
      </c>
    </row>
    <row r="69" spans="1:26" x14ac:dyDescent="0.3">
      <c r="A69" s="11">
        <v>42583</v>
      </c>
      <c r="B69" s="12">
        <v>23</v>
      </c>
      <c r="C69" s="12">
        <v>0</v>
      </c>
      <c r="I69" s="44">
        <f ca="1"/>
        <v>67</v>
      </c>
      <c r="J69" s="43">
        <f ca="1"/>
        <v>42583</v>
      </c>
      <c r="K69" s="39">
        <f ca="1"/>
        <v>23.655437347012487</v>
      </c>
      <c r="L69" s="27">
        <f ca="1"/>
        <v>23</v>
      </c>
      <c r="M69" s="27">
        <f ca="1"/>
        <v>0.65543734701248724</v>
      </c>
      <c r="N69" s="46">
        <f ca="1"/>
        <v>2.8497275957064749E-2</v>
      </c>
      <c r="O69" s="27">
        <f ca="1"/>
        <v>0</v>
      </c>
      <c r="P69" t="str">
        <f ca="1"/>
        <v/>
      </c>
      <c r="Q69" t="str">
        <f ca="1"/>
        <v/>
      </c>
      <c r="R69" t="str">
        <f ca="1"/>
        <v/>
      </c>
      <c r="S69" t="str">
        <f ca="1"/>
        <v/>
      </c>
      <c r="T69" t="str">
        <f ca="1"/>
        <v/>
      </c>
      <c r="U69" t="str">
        <f ca="1"/>
        <v/>
      </c>
      <c r="V69" t="str">
        <f ca="1"/>
        <v/>
      </c>
      <c r="W69" t="str">
        <f ca="1"/>
        <v/>
      </c>
      <c r="X69" t="str">
        <f ca="1"/>
        <v/>
      </c>
      <c r="Y69" t="str">
        <f ca="1"/>
        <v/>
      </c>
      <c r="Z69" t="str">
        <f ca="1"/>
        <v/>
      </c>
    </row>
    <row r="70" spans="1:26" x14ac:dyDescent="0.3">
      <c r="A70" s="11">
        <v>42614</v>
      </c>
      <c r="B70" s="12">
        <v>28</v>
      </c>
      <c r="C70" s="12">
        <v>0</v>
      </c>
      <c r="I70" s="44">
        <f ca="1"/>
        <v>68</v>
      </c>
      <c r="J70" s="43">
        <f ca="1"/>
        <v>42614</v>
      </c>
      <c r="K70" s="39">
        <f ca="1"/>
        <v>26.8568926180834</v>
      </c>
      <c r="L70" s="27">
        <f ca="1"/>
        <v>28</v>
      </c>
      <c r="M70" s="27">
        <f ca="1"/>
        <v>-1.1431073819166002</v>
      </c>
      <c r="N70" s="46">
        <f ca="1"/>
        <v>-4.0825263639878595E-2</v>
      </c>
      <c r="O70" s="27">
        <f ca="1"/>
        <v>0</v>
      </c>
      <c r="P70" t="str">
        <f ca="1"/>
        <v/>
      </c>
      <c r="Q70" t="str">
        <f ca="1"/>
        <v/>
      </c>
      <c r="R70" t="str">
        <f ca="1"/>
        <v/>
      </c>
      <c r="S70" t="str">
        <f ca="1"/>
        <v/>
      </c>
      <c r="T70" t="str">
        <f ca="1"/>
        <v/>
      </c>
      <c r="U70" t="str">
        <f ca="1"/>
        <v/>
      </c>
      <c r="V70" t="str">
        <f ca="1"/>
        <v/>
      </c>
      <c r="W70" t="str">
        <f ca="1"/>
        <v/>
      </c>
      <c r="X70" t="str">
        <f ca="1"/>
        <v/>
      </c>
      <c r="Y70" t="str">
        <f ca="1"/>
        <v/>
      </c>
      <c r="Z70" t="str">
        <f ca="1"/>
        <v/>
      </c>
    </row>
    <row r="71" spans="1:26" x14ac:dyDescent="0.3">
      <c r="A71" s="11">
        <v>42644</v>
      </c>
      <c r="B71" s="12">
        <v>39</v>
      </c>
      <c r="C71" s="12">
        <v>1</v>
      </c>
      <c r="I71" s="44">
        <f ca="1"/>
        <v>69</v>
      </c>
      <c r="J71" s="43">
        <f ca="1"/>
        <v>42644</v>
      </c>
      <c r="K71" s="39">
        <f ca="1"/>
        <v>35.619497360031069</v>
      </c>
      <c r="L71" s="27">
        <f ca="1"/>
        <v>39</v>
      </c>
      <c r="M71" s="27">
        <f ca="1"/>
        <v>-3.3805026399689311</v>
      </c>
      <c r="N71" s="46">
        <f ca="1"/>
        <v>-8.667955487099821E-2</v>
      </c>
      <c r="O71" s="27">
        <f ca="1"/>
        <v>1</v>
      </c>
      <c r="P71" t="str">
        <f ca="1"/>
        <v/>
      </c>
      <c r="Q71" t="str">
        <f ca="1"/>
        <v/>
      </c>
      <c r="R71" t="str">
        <f ca="1"/>
        <v/>
      </c>
      <c r="S71" t="str">
        <f ca="1"/>
        <v/>
      </c>
      <c r="T71" t="str">
        <f ca="1"/>
        <v/>
      </c>
      <c r="U71" t="str">
        <f ca="1"/>
        <v/>
      </c>
      <c r="V71" t="str">
        <f ca="1"/>
        <v/>
      </c>
      <c r="W71" t="str">
        <f ca="1"/>
        <v/>
      </c>
      <c r="X71" t="str">
        <f ca="1"/>
        <v/>
      </c>
      <c r="Y71" t="str">
        <f ca="1"/>
        <v/>
      </c>
      <c r="Z71" t="str">
        <f ca="1"/>
        <v/>
      </c>
    </row>
    <row r="72" spans="1:26" x14ac:dyDescent="0.3">
      <c r="A72" s="11">
        <v>42675</v>
      </c>
      <c r="B72" s="12">
        <v>50</v>
      </c>
      <c r="C72" s="12">
        <v>1</v>
      </c>
      <c r="I72" s="44">
        <f ca="1"/>
        <v>70</v>
      </c>
      <c r="J72" s="43">
        <f ca="1"/>
        <v>42675</v>
      </c>
      <c r="K72" s="39">
        <f ca="1"/>
        <v>45.696290723875848</v>
      </c>
      <c r="L72" s="27">
        <f ca="1"/>
        <v>50</v>
      </c>
      <c r="M72" s="27">
        <f ca="1"/>
        <v>-4.3037092761241524</v>
      </c>
      <c r="N72" s="46">
        <f ca="1"/>
        <v>-8.6074185522483027E-2</v>
      </c>
      <c r="O72" s="27">
        <f ca="1"/>
        <v>1</v>
      </c>
      <c r="P72" t="str">
        <f ca="1"/>
        <v/>
      </c>
      <c r="Q72" t="str">
        <f ca="1"/>
        <v/>
      </c>
      <c r="R72" t="str">
        <f ca="1"/>
        <v/>
      </c>
      <c r="S72" t="str">
        <f ca="1"/>
        <v/>
      </c>
      <c r="T72" t="str">
        <f ca="1"/>
        <v/>
      </c>
      <c r="U72" t="str">
        <f ca="1"/>
        <v/>
      </c>
      <c r="V72" t="str">
        <f ca="1"/>
        <v/>
      </c>
      <c r="W72" t="str">
        <f ca="1"/>
        <v/>
      </c>
      <c r="X72" t="str">
        <f ca="1"/>
        <v/>
      </c>
      <c r="Y72" t="str">
        <f ca="1"/>
        <v/>
      </c>
      <c r="Z72" t="str">
        <f ca="1"/>
        <v/>
      </c>
    </row>
    <row r="73" spans="1:26" x14ac:dyDescent="0.3">
      <c r="A73" s="11">
        <v>42705</v>
      </c>
      <c r="B73" s="12">
        <v>60</v>
      </c>
      <c r="C73" s="12">
        <v>1</v>
      </c>
      <c r="I73" s="44">
        <f ca="1"/>
        <v>71</v>
      </c>
      <c r="J73" s="43">
        <f ca="1"/>
        <v>42705</v>
      </c>
      <c r="K73" s="39">
        <f ca="1"/>
        <v>54.547666593852746</v>
      </c>
      <c r="L73" s="27">
        <f ca="1"/>
        <v>60</v>
      </c>
      <c r="M73" s="27">
        <f ca="1"/>
        <v>-5.4523334061472539</v>
      </c>
      <c r="N73" s="46">
        <f ca="1"/>
        <v>-9.0872223435787602E-2</v>
      </c>
      <c r="O73" s="27">
        <f ca="1"/>
        <v>1</v>
      </c>
      <c r="P73" t="str">
        <f ca="1"/>
        <v/>
      </c>
      <c r="Q73" t="str">
        <f ca="1"/>
        <v/>
      </c>
      <c r="R73" t="str">
        <f ca="1"/>
        <v/>
      </c>
      <c r="S73" t="str">
        <f ca="1"/>
        <v/>
      </c>
      <c r="T73" t="str">
        <f ca="1"/>
        <v/>
      </c>
      <c r="U73" t="str">
        <f ca="1"/>
        <v/>
      </c>
      <c r="V73" t="str">
        <f ca="1"/>
        <v/>
      </c>
      <c r="W73" t="str">
        <f ca="1"/>
        <v/>
      </c>
      <c r="X73" t="str">
        <f ca="1"/>
        <v/>
      </c>
      <c r="Y73" t="str">
        <f ca="1"/>
        <v/>
      </c>
      <c r="Z73" t="str">
        <f ca="1"/>
        <v/>
      </c>
    </row>
    <row r="74" spans="1:26" x14ac:dyDescent="0.3">
      <c r="A74" s="11">
        <v>42736</v>
      </c>
      <c r="B74" s="12">
        <v>41</v>
      </c>
      <c r="C74" s="12">
        <v>0</v>
      </c>
      <c r="I74" s="44">
        <f ca="1"/>
        <v>72</v>
      </c>
      <c r="J74" s="43">
        <f ca="1"/>
        <v>42736</v>
      </c>
      <c r="K74" s="39">
        <f ca="1"/>
        <v>45.055377164256683</v>
      </c>
      <c r="L74" s="27">
        <f ca="1"/>
        <v>41</v>
      </c>
      <c r="M74" s="27">
        <f ca="1"/>
        <v>4.0553771642566829</v>
      </c>
      <c r="N74" s="46">
        <f ca="1"/>
        <v>9.8911638152602066E-2</v>
      </c>
      <c r="O74" s="27">
        <f ca="1"/>
        <v>0</v>
      </c>
      <c r="P74" t="str">
        <f ca="1"/>
        <v/>
      </c>
      <c r="Q74" t="str">
        <f ca="1"/>
        <v/>
      </c>
      <c r="R74" t="str">
        <f ca="1"/>
        <v/>
      </c>
      <c r="S74" t="str">
        <f ca="1"/>
        <v/>
      </c>
      <c r="T74" t="str">
        <f ca="1"/>
        <v/>
      </c>
      <c r="U74" t="str">
        <f ca="1"/>
        <v/>
      </c>
      <c r="V74" t="str">
        <f ca="1"/>
        <v/>
      </c>
      <c r="W74" t="str">
        <f ca="1"/>
        <v/>
      </c>
      <c r="X74" t="str">
        <f ca="1"/>
        <v/>
      </c>
      <c r="Y74" t="str">
        <f ca="1"/>
        <v/>
      </c>
      <c r="Z74" t="str">
        <f ca="1"/>
        <v/>
      </c>
    </row>
    <row r="75" spans="1:26" x14ac:dyDescent="0.3">
      <c r="A75" s="11">
        <v>42767</v>
      </c>
      <c r="B75" s="12">
        <v>32</v>
      </c>
      <c r="C75" s="12">
        <v>0</v>
      </c>
      <c r="I75" s="44">
        <f ca="1"/>
        <v>73</v>
      </c>
      <c r="J75" s="43">
        <f ca="1"/>
        <v>42767</v>
      </c>
      <c r="K75" s="39">
        <f ca="1"/>
        <v>38.608808975234133</v>
      </c>
      <c r="L75" s="27">
        <f ca="1"/>
        <v>32</v>
      </c>
      <c r="M75" s="27">
        <f ca="1"/>
        <v>6.6088089752341332</v>
      </c>
      <c r="N75" s="46">
        <f ca="1"/>
        <v>0.20652528047606666</v>
      </c>
      <c r="O75" s="27">
        <f ca="1"/>
        <v>0</v>
      </c>
      <c r="P75" t="str">
        <f ca="1"/>
        <v/>
      </c>
      <c r="Q75" t="str">
        <f ca="1"/>
        <v/>
      </c>
      <c r="R75" t="str">
        <f ca="1"/>
        <v/>
      </c>
      <c r="S75" t="str">
        <f ca="1"/>
        <v/>
      </c>
      <c r="T75" t="str">
        <f ca="1"/>
        <v/>
      </c>
      <c r="U75" t="str">
        <f ca="1"/>
        <v/>
      </c>
      <c r="V75" t="str">
        <f ca="1"/>
        <v/>
      </c>
      <c r="W75" t="str">
        <f ca="1"/>
        <v/>
      </c>
      <c r="X75" t="str">
        <f ca="1"/>
        <v/>
      </c>
      <c r="Y75" t="str">
        <f ca="1"/>
        <v/>
      </c>
      <c r="Z75" t="str">
        <f ca="1"/>
        <v/>
      </c>
    </row>
    <row r="76" spans="1:26" x14ac:dyDescent="0.3">
      <c r="A76" s="11">
        <v>42795</v>
      </c>
      <c r="B76" s="12">
        <v>30</v>
      </c>
      <c r="C76" s="12">
        <v>0</v>
      </c>
      <c r="I76" s="44">
        <f ca="1"/>
        <v>74</v>
      </c>
      <c r="J76" s="43">
        <f ca="1"/>
        <v>42795</v>
      </c>
      <c r="K76" s="39">
        <f ca="1"/>
        <v>28.507061494937521</v>
      </c>
      <c r="L76" s="27">
        <f ca="1"/>
        <v>30</v>
      </c>
      <c r="M76" s="27">
        <f ca="1"/>
        <v>-1.4929385050624795</v>
      </c>
      <c r="N76" s="46">
        <f ca="1"/>
        <v>-4.9764616835415998E-2</v>
      </c>
      <c r="O76" s="27">
        <f ca="1"/>
        <v>0</v>
      </c>
      <c r="P76" t="str">
        <f ca="1"/>
        <v/>
      </c>
      <c r="Q76" t="str">
        <f ca="1"/>
        <v/>
      </c>
      <c r="R76" t="str">
        <f ca="1"/>
        <v/>
      </c>
      <c r="S76" t="str">
        <f ca="1"/>
        <v/>
      </c>
      <c r="T76" t="str">
        <f ca="1"/>
        <v/>
      </c>
      <c r="U76" t="str">
        <f ca="1"/>
        <v/>
      </c>
      <c r="V76" t="str">
        <f ca="1"/>
        <v/>
      </c>
      <c r="W76" t="str">
        <f ca="1"/>
        <v/>
      </c>
      <c r="X76" t="str">
        <f ca="1"/>
        <v/>
      </c>
      <c r="Y76" t="str">
        <f ca="1"/>
        <v/>
      </c>
      <c r="Z76" t="str">
        <f ca="1"/>
        <v/>
      </c>
    </row>
    <row r="77" spans="1:26" x14ac:dyDescent="0.3">
      <c r="A77" s="11">
        <v>42826</v>
      </c>
      <c r="B77" s="12">
        <v>27</v>
      </c>
      <c r="C77" s="12">
        <v>0</v>
      </c>
      <c r="I77" s="44">
        <f ca="1"/>
        <v>75</v>
      </c>
      <c r="J77" s="43">
        <f ca="1"/>
        <v>42826</v>
      </c>
      <c r="K77" s="39">
        <f ca="1"/>
        <v>26.923360463192605</v>
      </c>
      <c r="L77" s="27">
        <f ca="1"/>
        <v>27</v>
      </c>
      <c r="M77" s="27">
        <f ca="1"/>
        <v>-7.6639536807395103E-2</v>
      </c>
      <c r="N77" s="46">
        <f ca="1"/>
        <v>-2.8385013632368228E-3</v>
      </c>
      <c r="O77" s="27">
        <f ca="1"/>
        <v>0</v>
      </c>
      <c r="P77" t="str">
        <f ca="1"/>
        <v/>
      </c>
      <c r="Q77" t="str">
        <f ca="1"/>
        <v/>
      </c>
      <c r="R77" t="str">
        <f ca="1"/>
        <v/>
      </c>
      <c r="S77" t="str">
        <f ca="1"/>
        <v/>
      </c>
      <c r="T77" t="str">
        <f ca="1"/>
        <v/>
      </c>
      <c r="U77" t="str">
        <f ca="1"/>
        <v/>
      </c>
      <c r="V77" t="str">
        <f ca="1"/>
        <v/>
      </c>
      <c r="W77" t="str">
        <f ca="1"/>
        <v/>
      </c>
      <c r="X77" t="str">
        <f ca="1"/>
        <v/>
      </c>
      <c r="Y77" t="str">
        <f ca="1"/>
        <v/>
      </c>
      <c r="Z77" t="str">
        <f ca="1"/>
        <v/>
      </c>
    </row>
    <row r="78" spans="1:26" x14ac:dyDescent="0.3">
      <c r="A78" s="11">
        <v>42856</v>
      </c>
      <c r="B78" s="12">
        <v>24</v>
      </c>
      <c r="C78" s="12">
        <v>0</v>
      </c>
      <c r="I78" s="44">
        <f ca="1"/>
        <v>76</v>
      </c>
      <c r="J78" s="43">
        <f ca="1"/>
        <v>42856</v>
      </c>
      <c r="K78" s="39">
        <f ca="1"/>
        <v>23.832917198299768</v>
      </c>
      <c r="L78" s="27">
        <f ca="1"/>
        <v>24</v>
      </c>
      <c r="M78" s="27">
        <f ca="1"/>
        <v>-0.16708280170023215</v>
      </c>
      <c r="N78" s="46">
        <f ca="1"/>
        <v>-6.9617834041763027E-3</v>
      </c>
      <c r="O78" s="27">
        <f ca="1"/>
        <v>0</v>
      </c>
      <c r="P78" t="str">
        <f ca="1"/>
        <v/>
      </c>
      <c r="Q78" t="str">
        <f ca="1"/>
        <v/>
      </c>
      <c r="R78" t="str">
        <f ca="1"/>
        <v/>
      </c>
      <c r="S78" t="str">
        <f ca="1"/>
        <v/>
      </c>
      <c r="T78" t="str">
        <f ca="1"/>
        <v/>
      </c>
      <c r="U78" t="str">
        <f ca="1"/>
        <v/>
      </c>
      <c r="V78" t="str">
        <f ca="1"/>
        <v/>
      </c>
      <c r="W78" t="str">
        <f ca="1"/>
        <v/>
      </c>
      <c r="X78" t="str">
        <f ca="1"/>
        <v/>
      </c>
      <c r="Y78" t="str">
        <f ca="1"/>
        <v/>
      </c>
      <c r="Z78" t="str">
        <f ca="1"/>
        <v/>
      </c>
    </row>
    <row r="79" spans="1:26" x14ac:dyDescent="0.3">
      <c r="A79" s="11">
        <v>42887</v>
      </c>
      <c r="B79" s="12">
        <v>22</v>
      </c>
      <c r="C79" s="12">
        <v>0</v>
      </c>
      <c r="I79" s="44">
        <f ca="1"/>
        <v>77</v>
      </c>
      <c r="J79" s="43">
        <f ca="1"/>
        <v>42887</v>
      </c>
      <c r="K79" s="39">
        <f ca="1"/>
        <v>22.783872838911677</v>
      </c>
      <c r="L79" s="27">
        <f ca="1"/>
        <v>22</v>
      </c>
      <c r="M79" s="27">
        <f ca="1"/>
        <v>0.78387283891167669</v>
      </c>
      <c r="N79" s="46">
        <f ca="1"/>
        <v>3.5630583586894415E-2</v>
      </c>
      <c r="O79" s="27">
        <f ca="1"/>
        <v>0</v>
      </c>
      <c r="P79" t="str">
        <f ca="1"/>
        <v/>
      </c>
      <c r="Q79" t="str">
        <f ca="1"/>
        <v/>
      </c>
      <c r="R79" t="str">
        <f ca="1"/>
        <v/>
      </c>
      <c r="S79" t="str">
        <f ca="1"/>
        <v/>
      </c>
      <c r="T79" t="str">
        <f ca="1"/>
        <v/>
      </c>
      <c r="U79" t="str">
        <f ca="1"/>
        <v/>
      </c>
      <c r="V79" t="str">
        <f ca="1"/>
        <v/>
      </c>
      <c r="W79" t="str">
        <f ca="1"/>
        <v/>
      </c>
      <c r="X79" t="str">
        <f ca="1"/>
        <v/>
      </c>
      <c r="Y79" t="str">
        <f ca="1"/>
        <v/>
      </c>
      <c r="Z79" t="str">
        <f ca="1"/>
        <v/>
      </c>
    </row>
    <row r="80" spans="1:26" x14ac:dyDescent="0.3">
      <c r="A80" s="11">
        <v>42917</v>
      </c>
      <c r="B80" s="12">
        <v>23</v>
      </c>
      <c r="C80" s="12">
        <v>0</v>
      </c>
      <c r="I80" s="44">
        <f ca="1"/>
        <v>78</v>
      </c>
      <c r="J80" s="43">
        <f ca="1"/>
        <v>42917</v>
      </c>
      <c r="K80" s="39">
        <f ca="1"/>
        <v>21.985363567400693</v>
      </c>
      <c r="L80" s="27">
        <f ca="1"/>
        <v>23</v>
      </c>
      <c r="M80" s="27">
        <f ca="1"/>
        <v>-1.0146364325993069</v>
      </c>
      <c r="N80" s="46">
        <f ca="1"/>
        <v>-4.4114627504317716E-2</v>
      </c>
      <c r="O80" s="27">
        <f ca="1"/>
        <v>0</v>
      </c>
      <c r="P80" t="str">
        <f ca="1"/>
        <v/>
      </c>
      <c r="Q80" t="str">
        <f ca="1"/>
        <v/>
      </c>
      <c r="R80" t="str">
        <f ca="1"/>
        <v/>
      </c>
      <c r="S80" t="str">
        <f ca="1"/>
        <v/>
      </c>
      <c r="T80" t="str">
        <f ca="1"/>
        <v/>
      </c>
      <c r="U80" t="str">
        <f ca="1"/>
        <v/>
      </c>
      <c r="V80" t="str">
        <f ca="1"/>
        <v/>
      </c>
      <c r="W80" t="str">
        <f ca="1"/>
        <v/>
      </c>
      <c r="X80" t="str">
        <f ca="1"/>
        <v/>
      </c>
      <c r="Y80" t="str">
        <f ca="1"/>
        <v/>
      </c>
      <c r="Z80" t="str">
        <f ca="1"/>
        <v/>
      </c>
    </row>
    <row r="81" spans="1:26" x14ac:dyDescent="0.3">
      <c r="A81" s="11">
        <v>42948</v>
      </c>
      <c r="B81" s="12">
        <v>28</v>
      </c>
      <c r="C81" s="12">
        <v>0</v>
      </c>
      <c r="I81" s="44">
        <f ca="1"/>
        <v>79</v>
      </c>
      <c r="J81" s="43">
        <f ca="1"/>
        <v>42948</v>
      </c>
      <c r="K81" s="39">
        <f ca="1"/>
        <v>27.626562975914482</v>
      </c>
      <c r="L81" s="27">
        <f ca="1"/>
        <v>28</v>
      </c>
      <c r="M81" s="27">
        <f ca="1"/>
        <v>-0.37343702408551849</v>
      </c>
      <c r="N81" s="46">
        <f ca="1"/>
        <v>-1.3337036574482819E-2</v>
      </c>
      <c r="O81" s="27">
        <f ca="1"/>
        <v>0</v>
      </c>
      <c r="P81" t="str">
        <f ca="1"/>
        <v/>
      </c>
      <c r="Q81" t="str">
        <f ca="1"/>
        <v/>
      </c>
      <c r="R81" t="str">
        <f ca="1"/>
        <v/>
      </c>
      <c r="S81" t="str">
        <f ca="1"/>
        <v/>
      </c>
      <c r="T81" t="str">
        <f ca="1"/>
        <v/>
      </c>
      <c r="U81" t="str">
        <f ca="1"/>
        <v/>
      </c>
      <c r="V81" t="str">
        <f ca="1"/>
        <v/>
      </c>
      <c r="W81" t="str">
        <f ca="1"/>
        <v/>
      </c>
      <c r="X81" t="str">
        <f ca="1"/>
        <v/>
      </c>
      <c r="Y81" t="str">
        <f ca="1"/>
        <v/>
      </c>
      <c r="Z81" t="str">
        <f ca="1"/>
        <v/>
      </c>
    </row>
    <row r="82" spans="1:26" x14ac:dyDescent="0.3">
      <c r="A82" s="11">
        <v>42979</v>
      </c>
      <c r="B82" s="12">
        <v>37</v>
      </c>
      <c r="C82" s="12">
        <v>0</v>
      </c>
      <c r="I82" s="44">
        <f ca="1"/>
        <v>80</v>
      </c>
      <c r="J82" s="43">
        <f ca="1"/>
        <v>42979</v>
      </c>
      <c r="K82" s="39">
        <f ca="1"/>
        <v>32.224702288611496</v>
      </c>
      <c r="L82" s="27">
        <f ca="1"/>
        <v>37</v>
      </c>
      <c r="M82" s="27">
        <f ca="1"/>
        <v>-4.7752977113885038</v>
      </c>
      <c r="N82" s="46">
        <f ca="1"/>
        <v>-0.12906210030779741</v>
      </c>
      <c r="O82" s="27">
        <f ca="1"/>
        <v>0</v>
      </c>
      <c r="P82" t="str">
        <f ca="1"/>
        <v/>
      </c>
      <c r="Q82" t="str">
        <f ca="1"/>
        <v/>
      </c>
      <c r="R82" t="str">
        <f ca="1"/>
        <v/>
      </c>
      <c r="S82" t="str">
        <f ca="1"/>
        <v/>
      </c>
      <c r="T82" t="str">
        <f ca="1"/>
        <v/>
      </c>
      <c r="U82" t="str">
        <f ca="1"/>
        <v/>
      </c>
      <c r="V82" t="str">
        <f ca="1"/>
        <v/>
      </c>
      <c r="W82" t="str">
        <f ca="1"/>
        <v/>
      </c>
      <c r="X82" t="str">
        <f ca="1"/>
        <v/>
      </c>
      <c r="Y82" t="str">
        <f ca="1"/>
        <v/>
      </c>
      <c r="Z82" t="str">
        <f ca="1"/>
        <v/>
      </c>
    </row>
    <row r="83" spans="1:26" x14ac:dyDescent="0.3">
      <c r="A83" s="11">
        <v>43009</v>
      </c>
      <c r="B83" s="12">
        <v>44</v>
      </c>
      <c r="C83" s="12">
        <v>1</v>
      </c>
      <c r="I83" s="44">
        <f ca="1"/>
        <v>81</v>
      </c>
      <c r="J83" s="43">
        <f ca="1"/>
        <v>43009</v>
      </c>
      <c r="K83" s="39">
        <f ca="1"/>
        <v>47.025769920903869</v>
      </c>
      <c r="L83" s="27">
        <f ca="1"/>
        <v>44</v>
      </c>
      <c r="M83" s="27">
        <f ca="1"/>
        <v>3.0257699209038691</v>
      </c>
      <c r="N83" s="46">
        <f ca="1"/>
        <v>6.8767498202360722E-2</v>
      </c>
      <c r="O83" s="27">
        <f ca="1"/>
        <v>1</v>
      </c>
      <c r="P83" t="str">
        <f ca="1"/>
        <v/>
      </c>
      <c r="Q83" t="str">
        <f ca="1"/>
        <v/>
      </c>
      <c r="R83" t="str">
        <f ca="1"/>
        <v/>
      </c>
      <c r="S83" t="str">
        <f ca="1"/>
        <v/>
      </c>
      <c r="T83" t="str">
        <f ca="1"/>
        <v/>
      </c>
      <c r="U83" t="str">
        <f ca="1"/>
        <v/>
      </c>
      <c r="V83" t="str">
        <f ca="1"/>
        <v/>
      </c>
      <c r="W83" t="str">
        <f ca="1"/>
        <v/>
      </c>
      <c r="X83" t="str">
        <f ca="1"/>
        <v/>
      </c>
      <c r="Y83" t="str">
        <f ca="1"/>
        <v/>
      </c>
      <c r="Z83" t="str">
        <f ca="1"/>
        <v/>
      </c>
    </row>
    <row r="84" spans="1:26" x14ac:dyDescent="0.3">
      <c r="A84" s="11">
        <v>43040</v>
      </c>
      <c r="B84" s="12">
        <v>55</v>
      </c>
      <c r="C84" s="12">
        <v>1</v>
      </c>
      <c r="I84" s="44">
        <f ca="1"/>
        <v>82</v>
      </c>
      <c r="J84" s="43">
        <f ca="1"/>
        <v>43040</v>
      </c>
      <c r="K84" s="39">
        <f ca="1"/>
        <v>53.283787529117923</v>
      </c>
      <c r="L84" s="27">
        <f ca="1"/>
        <v>55</v>
      </c>
      <c r="M84" s="27">
        <f ca="1"/>
        <v>-1.716212470882077</v>
      </c>
      <c r="N84" s="46">
        <f ca="1"/>
        <v>-3.1203863106946894E-2</v>
      </c>
      <c r="O84" s="27">
        <f ca="1"/>
        <v>1</v>
      </c>
      <c r="P84" t="str">
        <f ca="1"/>
        <v/>
      </c>
      <c r="Q84" t="str">
        <f ca="1"/>
        <v/>
      </c>
      <c r="R84" t="str">
        <f ca="1"/>
        <v/>
      </c>
      <c r="S84" t="str">
        <f ca="1"/>
        <v/>
      </c>
      <c r="T84" t="str">
        <f ca="1"/>
        <v/>
      </c>
      <c r="U84" t="str">
        <f ca="1"/>
        <v/>
      </c>
      <c r="V84" t="str">
        <f ca="1"/>
        <v/>
      </c>
      <c r="W84" t="str">
        <f ca="1"/>
        <v/>
      </c>
      <c r="X84" t="str">
        <f ca="1"/>
        <v/>
      </c>
      <c r="Y84" t="str">
        <f ca="1"/>
        <v/>
      </c>
      <c r="Z84" t="str">
        <f ca="1"/>
        <v/>
      </c>
    </row>
    <row r="85" spans="1:26" x14ac:dyDescent="0.3">
      <c r="A85" s="11">
        <v>43070</v>
      </c>
      <c r="B85" s="12">
        <v>62</v>
      </c>
      <c r="C85" s="12">
        <v>1</v>
      </c>
      <c r="I85" s="44">
        <f ca="1"/>
        <v>83</v>
      </c>
      <c r="J85" s="43">
        <f ca="1"/>
        <v>43070</v>
      </c>
      <c r="K85" s="39">
        <f ca="1"/>
        <v>61.762096862489379</v>
      </c>
      <c r="L85" s="27">
        <f ca="1"/>
        <v>62</v>
      </c>
      <c r="M85" s="27">
        <f ca="1"/>
        <v>-0.23790313751062087</v>
      </c>
      <c r="N85" s="46">
        <f ca="1"/>
        <v>-3.8371473792035982E-3</v>
      </c>
      <c r="O85" s="27">
        <f ca="1"/>
        <v>1</v>
      </c>
      <c r="P85" t="str">
        <f ca="1"/>
        <v/>
      </c>
      <c r="Q85" t="str">
        <f ca="1"/>
        <v/>
      </c>
      <c r="R85" t="str">
        <f ca="1"/>
        <v/>
      </c>
      <c r="S85" t="str">
        <f ca="1"/>
        <v/>
      </c>
      <c r="T85" t="str">
        <f ca="1"/>
        <v/>
      </c>
      <c r="U85" t="str">
        <f ca="1"/>
        <v/>
      </c>
      <c r="V85" t="str">
        <f ca="1"/>
        <v/>
      </c>
      <c r="W85" t="str">
        <f ca="1"/>
        <v/>
      </c>
      <c r="X85" t="str">
        <f ca="1"/>
        <v/>
      </c>
      <c r="Y85" t="str">
        <f ca="1"/>
        <v/>
      </c>
      <c r="Z85" t="str">
        <f ca="1"/>
        <v/>
      </c>
    </row>
    <row r="86" spans="1:26" x14ac:dyDescent="0.3">
      <c r="A86" s="11">
        <v>43101</v>
      </c>
      <c r="B86" s="12">
        <v>40</v>
      </c>
      <c r="C86" s="12">
        <v>0</v>
      </c>
      <c r="I86" s="44">
        <f ca="1"/>
        <v>84</v>
      </c>
      <c r="J86" s="43">
        <f ca="1"/>
        <v>43101</v>
      </c>
      <c r="K86" s="39">
        <f ca="1"/>
        <v>46.14714219999918</v>
      </c>
      <c r="L86" s="27">
        <f ca="1"/>
        <v>40</v>
      </c>
      <c r="M86" s="27">
        <f ca="1"/>
        <v>6.1471421999991804</v>
      </c>
      <c r="N86" s="46">
        <f ca="1"/>
        <v>0.15367855499997951</v>
      </c>
      <c r="O86" s="27">
        <f ca="1"/>
        <v>0</v>
      </c>
      <c r="P86" t="str">
        <f ca="1"/>
        <v/>
      </c>
      <c r="Q86" t="str">
        <f ca="1"/>
        <v/>
      </c>
      <c r="R86" t="str">
        <f ca="1"/>
        <v/>
      </c>
      <c r="S86" t="str">
        <f ca="1"/>
        <v/>
      </c>
      <c r="T86" t="str">
        <f ca="1"/>
        <v/>
      </c>
      <c r="U86" t="str">
        <f ca="1"/>
        <v/>
      </c>
      <c r="V86" t="str">
        <f ca="1"/>
        <v/>
      </c>
      <c r="W86" t="str">
        <f ca="1"/>
        <v/>
      </c>
      <c r="X86" t="str">
        <f ca="1"/>
        <v/>
      </c>
      <c r="Y86" t="str">
        <f ca="1"/>
        <v/>
      </c>
      <c r="Z86" t="str">
        <f ca="1"/>
        <v/>
      </c>
    </row>
    <row r="87" spans="1:26" x14ac:dyDescent="0.3">
      <c r="A87" s="11">
        <v>43132</v>
      </c>
      <c r="B87" s="12">
        <v>36</v>
      </c>
      <c r="C87" s="12">
        <v>0</v>
      </c>
      <c r="I87" s="44">
        <f ca="1"/>
        <v>85</v>
      </c>
      <c r="J87" s="43">
        <f ca="1"/>
        <v>43132</v>
      </c>
      <c r="K87" s="39">
        <f ca="1"/>
        <v>36.167108018562338</v>
      </c>
      <c r="L87" s="27">
        <f ca="1"/>
        <v>36</v>
      </c>
      <c r="M87" s="27">
        <f ca="1"/>
        <v>0.16710801856233815</v>
      </c>
      <c r="N87" s="46">
        <f ca="1"/>
        <v>4.6418894045094916E-3</v>
      </c>
      <c r="O87" s="27">
        <f ca="1"/>
        <v>0</v>
      </c>
      <c r="P87" t="str">
        <f ca="1"/>
        <v/>
      </c>
      <c r="Q87" t="str">
        <f ca="1"/>
        <v/>
      </c>
      <c r="R87" t="str">
        <f ca="1"/>
        <v/>
      </c>
      <c r="S87" t="str">
        <f ca="1"/>
        <v/>
      </c>
      <c r="T87" t="str">
        <f ca="1"/>
        <v/>
      </c>
      <c r="U87" t="str">
        <f ca="1"/>
        <v/>
      </c>
      <c r="V87" t="str">
        <f ca="1"/>
        <v/>
      </c>
      <c r="W87" t="str">
        <f ca="1"/>
        <v/>
      </c>
      <c r="X87" t="str">
        <f ca="1"/>
        <v/>
      </c>
      <c r="Y87" t="str">
        <f ca="1"/>
        <v/>
      </c>
      <c r="Z87" t="str">
        <f ca="1"/>
        <v/>
      </c>
    </row>
    <row r="88" spans="1:26" x14ac:dyDescent="0.3">
      <c r="A88" s="11">
        <v>43160</v>
      </c>
      <c r="B88" s="12">
        <v>33</v>
      </c>
      <c r="C88" s="12">
        <v>0</v>
      </c>
      <c r="I88" s="44">
        <f ca="1"/>
        <v>86</v>
      </c>
      <c r="J88" s="43">
        <f ca="1"/>
        <v>43160</v>
      </c>
      <c r="K88" s="39">
        <f ca="1"/>
        <v>32.203765549587892</v>
      </c>
      <c r="L88" s="27">
        <f ca="1"/>
        <v>33</v>
      </c>
      <c r="M88" s="27">
        <f ca="1"/>
        <v>-0.79623445041210772</v>
      </c>
      <c r="N88" s="46">
        <f ca="1"/>
        <v>-2.4128316679154826E-2</v>
      </c>
      <c r="O88" s="27">
        <f ca="1"/>
        <v>0</v>
      </c>
      <c r="P88" t="str">
        <f ca="1"/>
        <v/>
      </c>
      <c r="Q88" t="str">
        <f ca="1"/>
        <v/>
      </c>
      <c r="R88" t="str">
        <f ca="1"/>
        <v/>
      </c>
      <c r="S88" t="str">
        <f ca="1"/>
        <v/>
      </c>
      <c r="T88" t="str">
        <f ca="1"/>
        <v/>
      </c>
      <c r="U88" t="str">
        <f ca="1"/>
        <v/>
      </c>
      <c r="V88" t="str">
        <f ca="1"/>
        <v/>
      </c>
      <c r="W88" t="str">
        <f ca="1"/>
        <v/>
      </c>
      <c r="X88" t="str">
        <f ca="1"/>
        <v/>
      </c>
      <c r="Y88" t="str">
        <f ca="1"/>
        <v/>
      </c>
      <c r="Z88" t="str">
        <f ca="1"/>
        <v/>
      </c>
    </row>
    <row r="89" spans="1:26" x14ac:dyDescent="0.3">
      <c r="A89" s="11">
        <v>43191</v>
      </c>
      <c r="B89" s="12">
        <v>30</v>
      </c>
      <c r="C89" s="12">
        <v>0</v>
      </c>
      <c r="I89" s="44">
        <f ca="1"/>
        <v>87</v>
      </c>
      <c r="J89" s="43">
        <f ca="1"/>
        <v>43191</v>
      </c>
      <c r="K89" s="39">
        <f ca="1"/>
        <v>29.5931028041005</v>
      </c>
      <c r="L89" s="27">
        <f ca="1"/>
        <v>30</v>
      </c>
      <c r="M89" s="27">
        <f ca="1"/>
        <v>-0.40689719589950002</v>
      </c>
      <c r="N89" s="46">
        <f ca="1"/>
        <v>-1.3563239863316645E-2</v>
      </c>
      <c r="O89" s="27">
        <f ca="1"/>
        <v>0</v>
      </c>
      <c r="P89" t="str">
        <f ca="1"/>
        <v/>
      </c>
      <c r="Q89" t="str">
        <f ca="1"/>
        <v/>
      </c>
      <c r="R89" t="str">
        <f ca="1"/>
        <v/>
      </c>
      <c r="S89" t="str">
        <f ca="1"/>
        <v/>
      </c>
      <c r="T89" t="str">
        <f ca="1"/>
        <v/>
      </c>
      <c r="U89" t="str">
        <f ca="1"/>
        <v/>
      </c>
      <c r="V89" t="str">
        <f ca="1"/>
        <v/>
      </c>
      <c r="W89" t="str">
        <f ca="1"/>
        <v/>
      </c>
      <c r="X89" t="str">
        <f ca="1"/>
        <v/>
      </c>
      <c r="Y89" t="str">
        <f ca="1"/>
        <v/>
      </c>
      <c r="Z89" t="str">
        <f ca="1"/>
        <v/>
      </c>
    </row>
    <row r="90" spans="1:26" x14ac:dyDescent="0.3">
      <c r="A90" s="11">
        <v>43221</v>
      </c>
      <c r="B90" s="12">
        <v>25</v>
      </c>
      <c r="C90" s="12">
        <v>0</v>
      </c>
      <c r="I90" s="44">
        <f ca="1"/>
        <v>88</v>
      </c>
      <c r="J90" s="43">
        <f ca="1"/>
        <v>43221</v>
      </c>
      <c r="K90" s="39">
        <f ca="1"/>
        <v>26.856008973869738</v>
      </c>
      <c r="L90" s="27">
        <f ca="1"/>
        <v>25</v>
      </c>
      <c r="M90" s="27">
        <f ca="1"/>
        <v>1.8560089738697378</v>
      </c>
      <c r="N90" s="46">
        <f ca="1"/>
        <v>7.4240358954789532E-2</v>
      </c>
      <c r="O90" s="27">
        <f ca="1"/>
        <v>0</v>
      </c>
      <c r="P90" t="str">
        <f ca="1"/>
        <v/>
      </c>
      <c r="Q90" t="str">
        <f ca="1"/>
        <v/>
      </c>
      <c r="R90" t="str">
        <f ca="1"/>
        <v/>
      </c>
      <c r="S90" t="str">
        <f ca="1"/>
        <v/>
      </c>
      <c r="T90" t="str">
        <f ca="1"/>
        <v/>
      </c>
      <c r="U90" t="str">
        <f ca="1"/>
        <v/>
      </c>
      <c r="V90" t="str">
        <f ca="1"/>
        <v/>
      </c>
      <c r="W90" t="str">
        <f ca="1"/>
        <v/>
      </c>
      <c r="X90" t="str">
        <f ca="1"/>
        <v/>
      </c>
      <c r="Y90" t="str">
        <f ca="1"/>
        <v/>
      </c>
      <c r="Z90" t="str">
        <f ca="1"/>
        <v/>
      </c>
    </row>
    <row r="91" spans="1:26" x14ac:dyDescent="0.3">
      <c r="A91" s="11">
        <v>43252</v>
      </c>
      <c r="B91" s="12">
        <v>23</v>
      </c>
      <c r="C91" s="12">
        <v>0</v>
      </c>
      <c r="I91" s="44">
        <f ca="1"/>
        <v>89</v>
      </c>
      <c r="J91" s="43">
        <f ca="1"/>
        <v>43252</v>
      </c>
      <c r="K91" s="39">
        <f ca="1"/>
        <v>23.82062227057914</v>
      </c>
      <c r="L91" s="27">
        <f ca="1"/>
        <v>23</v>
      </c>
      <c r="M91" s="27">
        <f ca="1"/>
        <v>0.82062227057913972</v>
      </c>
      <c r="N91" s="46">
        <f ca="1"/>
        <v>3.5679229155614722E-2</v>
      </c>
      <c r="O91" s="27">
        <f ca="1"/>
        <v>0</v>
      </c>
      <c r="P91" t="str">
        <f ca="1"/>
        <v/>
      </c>
      <c r="Q91" t="str">
        <f ca="1"/>
        <v/>
      </c>
      <c r="R91" t="str">
        <f ca="1"/>
        <v/>
      </c>
      <c r="S91" t="str">
        <f ca="1"/>
        <v/>
      </c>
      <c r="T91" t="str">
        <f ca="1"/>
        <v/>
      </c>
      <c r="U91" t="str">
        <f ca="1"/>
        <v/>
      </c>
      <c r="V91" t="str">
        <f ca="1"/>
        <v/>
      </c>
      <c r="W91" t="str">
        <f ca="1"/>
        <v/>
      </c>
      <c r="X91" t="str">
        <f ca="1"/>
        <v/>
      </c>
      <c r="Y91" t="str">
        <f ca="1"/>
        <v/>
      </c>
      <c r="Z91" t="str">
        <f ca="1"/>
        <v/>
      </c>
    </row>
    <row r="92" spans="1:26" x14ac:dyDescent="0.3">
      <c r="A92" s="11">
        <v>43282</v>
      </c>
      <c r="B92" s="12">
        <v>25</v>
      </c>
      <c r="C92" s="12">
        <v>0</v>
      </c>
      <c r="I92" s="44">
        <f ca="1"/>
        <v>90</v>
      </c>
      <c r="J92" s="43">
        <f ca="1"/>
        <v>43282</v>
      </c>
      <c r="K92" s="39">
        <f ca="1"/>
        <v>23.237458427411539</v>
      </c>
      <c r="L92" s="27">
        <f ca="1"/>
        <v>25</v>
      </c>
      <c r="M92" s="27">
        <f ca="1"/>
        <v>-1.7625415725884608</v>
      </c>
      <c r="N92" s="46">
        <f ca="1"/>
        <v>-7.0501662903538431E-2</v>
      </c>
      <c r="O92" s="27">
        <f ca="1"/>
        <v>0</v>
      </c>
      <c r="P92" t="str">
        <f ca="1"/>
        <v/>
      </c>
      <c r="Q92" t="str">
        <f ca="1"/>
        <v/>
      </c>
      <c r="R92" t="str">
        <f ca="1"/>
        <v/>
      </c>
      <c r="S92" t="str">
        <f ca="1"/>
        <v/>
      </c>
      <c r="T92" t="str">
        <f ca="1"/>
        <v/>
      </c>
      <c r="U92" t="str">
        <f ca="1"/>
        <v/>
      </c>
      <c r="V92" t="str">
        <f ca="1"/>
        <v/>
      </c>
      <c r="W92" t="str">
        <f ca="1"/>
        <v/>
      </c>
      <c r="X92" t="str">
        <f ca="1"/>
        <v/>
      </c>
      <c r="Y92" t="str">
        <f ca="1"/>
        <v/>
      </c>
      <c r="Z92" t="str">
        <f ca="1"/>
        <v/>
      </c>
    </row>
    <row r="93" spans="1:26" x14ac:dyDescent="0.3">
      <c r="A93" s="11">
        <v>43313</v>
      </c>
      <c r="B93" s="12">
        <v>27</v>
      </c>
      <c r="C93" s="12">
        <v>0</v>
      </c>
      <c r="I93" s="44">
        <f ca="1"/>
        <v>91</v>
      </c>
      <c r="J93" s="43">
        <f ca="1"/>
        <v>43313</v>
      </c>
      <c r="K93" s="39">
        <f ca="1"/>
        <v>29.769309738032156</v>
      </c>
      <c r="L93" s="27">
        <f ca="1"/>
        <v>27</v>
      </c>
      <c r="M93" s="27">
        <f ca="1"/>
        <v>2.7693097380321561</v>
      </c>
      <c r="N93" s="46">
        <f ca="1"/>
        <v>0.10256702733452427</v>
      </c>
      <c r="O93" s="27">
        <f ca="1"/>
        <v>0</v>
      </c>
      <c r="P93" t="str">
        <f ca="1"/>
        <v/>
      </c>
      <c r="Q93" t="str">
        <f ca="1"/>
        <v/>
      </c>
      <c r="R93" t="str">
        <f ca="1"/>
        <v/>
      </c>
      <c r="S93" t="str">
        <f ca="1"/>
        <v/>
      </c>
      <c r="T93" t="str">
        <f ca="1"/>
        <v/>
      </c>
      <c r="U93" t="str">
        <f ca="1"/>
        <v/>
      </c>
      <c r="V93" t="str">
        <f ca="1"/>
        <v/>
      </c>
      <c r="W93" t="str">
        <f ca="1"/>
        <v/>
      </c>
      <c r="X93" t="str">
        <f ca="1"/>
        <v/>
      </c>
      <c r="Y93" t="str">
        <f ca="1"/>
        <v/>
      </c>
      <c r="Z93" t="str">
        <f ca="1"/>
        <v/>
      </c>
    </row>
    <row r="94" spans="1:26" x14ac:dyDescent="0.3">
      <c r="A94" s="11">
        <v>43344</v>
      </c>
      <c r="B94" s="12">
        <v>33</v>
      </c>
      <c r="C94" s="12">
        <v>0</v>
      </c>
      <c r="I94" s="44">
        <f ca="1"/>
        <v>92</v>
      </c>
      <c r="J94" s="43">
        <f ca="1"/>
        <v>43344</v>
      </c>
      <c r="K94" s="39">
        <f ca="1"/>
        <v>32.961760761393087</v>
      </c>
      <c r="L94" s="27">
        <f ca="1"/>
        <v>33</v>
      </c>
      <c r="M94" s="27">
        <f ca="1"/>
        <v>-3.8239238606912807E-2</v>
      </c>
      <c r="N94" s="46">
        <f ca="1"/>
        <v>-1.158764806270085E-3</v>
      </c>
      <c r="O94" s="27">
        <f ca="1"/>
        <v>0</v>
      </c>
      <c r="P94" t="str">
        <f ca="1"/>
        <v/>
      </c>
      <c r="Q94" t="str">
        <f ca="1"/>
        <v/>
      </c>
      <c r="R94" t="str">
        <f ca="1"/>
        <v/>
      </c>
      <c r="S94" t="str">
        <f ca="1"/>
        <v/>
      </c>
      <c r="T94" t="str">
        <f ca="1"/>
        <v/>
      </c>
      <c r="U94" t="str">
        <f ca="1"/>
        <v/>
      </c>
      <c r="V94" t="str">
        <f ca="1"/>
        <v/>
      </c>
      <c r="W94" t="str">
        <f ca="1"/>
        <v/>
      </c>
      <c r="X94" t="str">
        <f ca="1"/>
        <v/>
      </c>
      <c r="Y94" t="str">
        <f ca="1"/>
        <v/>
      </c>
      <c r="Z94" t="str">
        <f ca="1"/>
        <v/>
      </c>
    </row>
    <row r="95" spans="1:26" x14ac:dyDescent="0.3">
      <c r="A95" s="11">
        <v>43374</v>
      </c>
      <c r="B95" s="12">
        <v>44</v>
      </c>
      <c r="C95" s="12">
        <v>1</v>
      </c>
      <c r="I95" s="44">
        <f ca="1"/>
        <v>93</v>
      </c>
      <c r="J95" s="43">
        <f ca="1"/>
        <v>43374</v>
      </c>
      <c r="K95" s="39">
        <f ca="1"/>
        <v>42.441109909898927</v>
      </c>
      <c r="L95" s="27">
        <f ca="1"/>
        <v>44</v>
      </c>
      <c r="M95" s="27">
        <f ca="1"/>
        <v>-1.5588900901010732</v>
      </c>
      <c r="N95" s="46">
        <f ca="1"/>
        <v>-3.5429320229569794E-2</v>
      </c>
      <c r="O95" s="27">
        <f ca="1"/>
        <v>1</v>
      </c>
      <c r="P95" t="str">
        <f ca="1"/>
        <v/>
      </c>
      <c r="Q95" t="str">
        <f ca="1"/>
        <v/>
      </c>
      <c r="R95" t="str">
        <f ca="1"/>
        <v/>
      </c>
      <c r="S95" t="str">
        <f ca="1"/>
        <v/>
      </c>
      <c r="T95" t="str">
        <f ca="1"/>
        <v/>
      </c>
      <c r="U95" t="str">
        <f ca="1"/>
        <v/>
      </c>
      <c r="V95" t="str">
        <f ca="1"/>
        <v/>
      </c>
      <c r="W95" t="str">
        <f ca="1"/>
        <v/>
      </c>
      <c r="X95" t="str">
        <f ca="1"/>
        <v/>
      </c>
      <c r="Y95" t="str">
        <f ca="1"/>
        <v/>
      </c>
      <c r="Z95" t="str">
        <f ca="1"/>
        <v/>
      </c>
    </row>
    <row r="96" spans="1:26" x14ac:dyDescent="0.3">
      <c r="A96" s="11">
        <v>43405</v>
      </c>
      <c r="B96" s="12">
        <v>55</v>
      </c>
      <c r="C96" s="12">
        <v>1</v>
      </c>
      <c r="I96" s="44">
        <f ca="1"/>
        <v>94</v>
      </c>
      <c r="J96" s="43">
        <f ca="1"/>
        <v>43405</v>
      </c>
      <c r="K96" s="39">
        <f ca="1"/>
        <v>53.513944331368741</v>
      </c>
      <c r="L96" s="27">
        <f ca="1"/>
        <v>55</v>
      </c>
      <c r="M96" s="27">
        <f ca="1"/>
        <v>-1.4860556686312592</v>
      </c>
      <c r="N96" s="46">
        <f ca="1"/>
        <v>-2.7019193975113764E-2</v>
      </c>
      <c r="O96" s="27">
        <f ca="1"/>
        <v>1</v>
      </c>
      <c r="P96" t="str">
        <f ca="1"/>
        <v/>
      </c>
      <c r="Q96" t="str">
        <f ca="1"/>
        <v/>
      </c>
      <c r="R96" t="str">
        <f ca="1"/>
        <v/>
      </c>
      <c r="S96" t="str">
        <f ca="1"/>
        <v/>
      </c>
      <c r="T96" t="str">
        <f ca="1"/>
        <v/>
      </c>
      <c r="U96" t="str">
        <f ca="1"/>
        <v/>
      </c>
      <c r="V96" t="str">
        <f ca="1"/>
        <v/>
      </c>
      <c r="W96" t="str">
        <f ca="1"/>
        <v/>
      </c>
      <c r="X96" t="str">
        <f ca="1"/>
        <v/>
      </c>
      <c r="Y96" t="str">
        <f ca="1"/>
        <v/>
      </c>
      <c r="Z96" t="str">
        <f ca="1"/>
        <v/>
      </c>
    </row>
    <row r="97" spans="1:26" x14ac:dyDescent="0.3">
      <c r="A97" s="11">
        <v>43435</v>
      </c>
      <c r="B97" s="12">
        <v>59</v>
      </c>
      <c r="C97" s="12">
        <v>1</v>
      </c>
      <c r="I97" s="44">
        <f ca="1"/>
        <v>95</v>
      </c>
      <c r="J97" s="43">
        <f ca="1"/>
        <v>43435</v>
      </c>
      <c r="K97" s="39">
        <f ca="1"/>
        <v>61.842300846996011</v>
      </c>
      <c r="L97" s="27">
        <f ca="1"/>
        <v>59</v>
      </c>
      <c r="M97" s="27">
        <f ca="1"/>
        <v>2.8423008469960109</v>
      </c>
      <c r="N97" s="46">
        <f ca="1"/>
        <v>4.8174590627050984E-2</v>
      </c>
      <c r="O97" s="27">
        <f ca="1"/>
        <v>1</v>
      </c>
      <c r="P97" t="str">
        <f ca="1"/>
        <v/>
      </c>
      <c r="Q97" t="str">
        <f ca="1"/>
        <v/>
      </c>
      <c r="R97" t="str">
        <f ca="1"/>
        <v/>
      </c>
      <c r="S97" t="str">
        <f ca="1"/>
        <v/>
      </c>
      <c r="T97" t="str">
        <f ca="1"/>
        <v/>
      </c>
      <c r="U97" t="str">
        <f ca="1"/>
        <v/>
      </c>
      <c r="V97" t="str">
        <f ca="1"/>
        <v/>
      </c>
      <c r="W97" t="str">
        <f ca="1"/>
        <v/>
      </c>
      <c r="X97" t="str">
        <f ca="1"/>
        <v/>
      </c>
      <c r="Y97" t="str">
        <f ca="1"/>
        <v/>
      </c>
      <c r="Z97" t="str">
        <f ca="1"/>
        <v/>
      </c>
    </row>
    <row r="98" spans="1:26" x14ac:dyDescent="0.3">
      <c r="A98" s="11">
        <v>43466</v>
      </c>
      <c r="B98" s="12">
        <v>42</v>
      </c>
      <c r="C98" s="12">
        <v>0</v>
      </c>
      <c r="I98" s="44">
        <f ca="1"/>
        <v>96</v>
      </c>
      <c r="J98" s="43">
        <f ca="1"/>
        <v>43466</v>
      </c>
      <c r="K98" s="39">
        <f ca="1"/>
        <v>41.902521114476279</v>
      </c>
      <c r="L98" s="27">
        <f ca="1"/>
        <v>42</v>
      </c>
      <c r="M98" s="27">
        <f ca="1"/>
        <v>-9.7478885523720749E-2</v>
      </c>
      <c r="N98" s="46">
        <f ca="1"/>
        <v>-2.3209258458029014E-3</v>
      </c>
      <c r="O98" s="27">
        <f ca="1"/>
        <v>0</v>
      </c>
      <c r="P98" t="str">
        <f ca="1"/>
        <v/>
      </c>
      <c r="Q98" t="str">
        <f ca="1"/>
        <v/>
      </c>
      <c r="R98" t="str">
        <f ca="1"/>
        <v/>
      </c>
      <c r="S98" t="str">
        <f ca="1"/>
        <v/>
      </c>
      <c r="T98" t="str">
        <f ca="1"/>
        <v/>
      </c>
      <c r="U98" t="str">
        <f ca="1"/>
        <v/>
      </c>
      <c r="V98" t="str">
        <f ca="1"/>
        <v/>
      </c>
      <c r="W98" t="str">
        <f ca="1"/>
        <v/>
      </c>
      <c r="X98" t="str">
        <f ca="1"/>
        <v/>
      </c>
      <c r="Y98" t="str">
        <f ca="1"/>
        <v/>
      </c>
      <c r="Z98" t="str">
        <f ca="1"/>
        <v/>
      </c>
    </row>
    <row r="99" spans="1:26" x14ac:dyDescent="0.3">
      <c r="A99" s="11">
        <v>43497</v>
      </c>
      <c r="B99" s="12">
        <v>40</v>
      </c>
      <c r="C99" s="12">
        <v>0</v>
      </c>
      <c r="I99" s="44">
        <f ca="1"/>
        <v>97</v>
      </c>
      <c r="J99" s="43">
        <f ca="1"/>
        <v>43497</v>
      </c>
      <c r="K99" s="39">
        <f ca="1"/>
        <v>37.145421039498224</v>
      </c>
      <c r="L99" s="27">
        <f ca="1"/>
        <v>40</v>
      </c>
      <c r="M99" s="27">
        <f ca="1"/>
        <v>-2.854578960501776</v>
      </c>
      <c r="N99" s="46">
        <f ca="1"/>
        <v>-7.1364474012544421E-2</v>
      </c>
      <c r="O99" s="27">
        <f ca="1"/>
        <v>0</v>
      </c>
      <c r="P99" t="str">
        <f ca="1"/>
        <v/>
      </c>
      <c r="Q99" t="str">
        <f ca="1"/>
        <v/>
      </c>
      <c r="R99" t="str">
        <f ca="1"/>
        <v/>
      </c>
      <c r="S99" t="str">
        <f ca="1"/>
        <v/>
      </c>
      <c r="T99" t="str">
        <f ca="1"/>
        <v/>
      </c>
      <c r="U99" t="str">
        <f ca="1"/>
        <v/>
      </c>
      <c r="V99" t="str">
        <f ca="1"/>
        <v/>
      </c>
      <c r="W99" t="str">
        <f ca="1"/>
        <v/>
      </c>
      <c r="X99" t="str">
        <f ca="1"/>
        <v/>
      </c>
      <c r="Y99" t="str">
        <f ca="1"/>
        <v/>
      </c>
      <c r="Z99" t="str">
        <f ca="1"/>
        <v/>
      </c>
    </row>
    <row r="100" spans="1:26" x14ac:dyDescent="0.3">
      <c r="A100" s="11">
        <v>43525</v>
      </c>
      <c r="B100" s="12">
        <v>33</v>
      </c>
      <c r="C100" s="12">
        <v>0</v>
      </c>
      <c r="I100" s="44">
        <f ca="1"/>
        <v>98</v>
      </c>
      <c r="J100" s="43">
        <f ca="1"/>
        <v>43525</v>
      </c>
      <c r="K100" s="39">
        <f ca="1"/>
        <v>35.855956611065068</v>
      </c>
      <c r="L100" s="27">
        <f ca="1"/>
        <v>33</v>
      </c>
      <c r="M100" s="27">
        <f ca="1"/>
        <v>2.8559566110650678</v>
      </c>
      <c r="N100" s="46">
        <f ca="1"/>
        <v>8.6544139729244574E-2</v>
      </c>
      <c r="O100" s="27">
        <f ca="1"/>
        <v>0</v>
      </c>
      <c r="P100" t="str">
        <f ca="1"/>
        <v/>
      </c>
      <c r="Q100" t="str">
        <f ca="1"/>
        <v/>
      </c>
      <c r="R100" t="str">
        <f ca="1"/>
        <v/>
      </c>
      <c r="S100" t="str">
        <f ca="1"/>
        <v/>
      </c>
      <c r="T100" t="str">
        <f ca="1"/>
        <v/>
      </c>
      <c r="U100" t="str">
        <f ca="1"/>
        <v/>
      </c>
      <c r="V100" t="str">
        <f ca="1"/>
        <v/>
      </c>
      <c r="W100" t="str">
        <f ca="1"/>
        <v/>
      </c>
      <c r="X100" t="str">
        <f ca="1"/>
        <v/>
      </c>
      <c r="Y100" t="str">
        <f ca="1"/>
        <v/>
      </c>
      <c r="Z100" t="str">
        <f ca="1"/>
        <v/>
      </c>
    </row>
    <row r="101" spans="1:26" x14ac:dyDescent="0.3">
      <c r="A101" s="11">
        <v>43556</v>
      </c>
      <c r="B101" s="12">
        <v>28</v>
      </c>
      <c r="C101" s="12">
        <v>0</v>
      </c>
      <c r="I101" s="44">
        <f ca="1"/>
        <v>99</v>
      </c>
      <c r="J101" s="43">
        <f ca="1"/>
        <v>43556</v>
      </c>
      <c r="K101" s="39">
        <f ca="1"/>
        <v>30.127607555328701</v>
      </c>
      <c r="L101" s="27">
        <f ca="1"/>
        <v>28</v>
      </c>
      <c r="M101" s="27">
        <f ca="1"/>
        <v>2.1276075553287015</v>
      </c>
      <c r="N101" s="46">
        <f ca="1"/>
        <v>7.5985984118882133E-2</v>
      </c>
      <c r="O101" s="27">
        <f ca="1"/>
        <v>0</v>
      </c>
      <c r="P101" t="str">
        <f ca="1"/>
        <v/>
      </c>
      <c r="Q101" t="str">
        <f ca="1"/>
        <v/>
      </c>
      <c r="R101" t="str">
        <f ca="1"/>
        <v/>
      </c>
      <c r="S101" t="str">
        <f ca="1"/>
        <v/>
      </c>
      <c r="T101" t="str">
        <f ca="1"/>
        <v/>
      </c>
      <c r="U101" t="str">
        <f ca="1"/>
        <v/>
      </c>
      <c r="V101" t="str">
        <f ca="1"/>
        <v/>
      </c>
      <c r="W101" t="str">
        <f ca="1"/>
        <v/>
      </c>
      <c r="X101" t="str">
        <f ca="1"/>
        <v/>
      </c>
      <c r="Y101" t="str">
        <f ca="1"/>
        <v/>
      </c>
      <c r="Z101" t="str">
        <f ca="1"/>
        <v/>
      </c>
    </row>
    <row r="102" spans="1:26" x14ac:dyDescent="0.3">
      <c r="A102" s="11">
        <v>43586</v>
      </c>
      <c r="B102" s="12">
        <v>26</v>
      </c>
      <c r="C102" s="12">
        <v>0</v>
      </c>
      <c r="I102" s="44">
        <f ca="1"/>
        <v>100</v>
      </c>
      <c r="J102" s="43">
        <f ca="1"/>
        <v>43586</v>
      </c>
      <c r="K102" s="39">
        <f ca="1"/>
        <v>24.982177841434904</v>
      </c>
      <c r="L102" s="27">
        <f ca="1"/>
        <v>26</v>
      </c>
      <c r="M102" s="27">
        <f ca="1"/>
        <v>-1.0178221585650959</v>
      </c>
      <c r="N102" s="46">
        <f ca="1"/>
        <v>-3.9147006098657511E-2</v>
      </c>
      <c r="O102" s="27">
        <f ca="1"/>
        <v>0</v>
      </c>
      <c r="P102" t="str">
        <f ca="1"/>
        <v/>
      </c>
      <c r="Q102" t="str">
        <f ca="1"/>
        <v/>
      </c>
      <c r="R102" t="str">
        <f ca="1"/>
        <v/>
      </c>
      <c r="S102" t="str">
        <f ca="1"/>
        <v/>
      </c>
      <c r="T102" t="str">
        <f ca="1"/>
        <v/>
      </c>
      <c r="U102" t="str">
        <f ca="1"/>
        <v/>
      </c>
      <c r="V102" t="str">
        <f ca="1"/>
        <v/>
      </c>
      <c r="W102" t="str">
        <f ca="1"/>
        <v/>
      </c>
      <c r="X102" t="str">
        <f ca="1"/>
        <v/>
      </c>
      <c r="Y102" t="str">
        <f ca="1"/>
        <v/>
      </c>
      <c r="Z102" t="str">
        <f ca="1"/>
        <v/>
      </c>
    </row>
    <row r="103" spans="1:26" x14ac:dyDescent="0.3">
      <c r="A103" s="11">
        <v>43617</v>
      </c>
      <c r="B103" s="12">
        <v>24</v>
      </c>
      <c r="C103" s="12">
        <v>0</v>
      </c>
      <c r="I103" s="44">
        <f ca="1"/>
        <v>101</v>
      </c>
      <c r="J103" s="43">
        <f ca="1"/>
        <v>43617</v>
      </c>
      <c r="K103" s="39">
        <f ca="1"/>
        <v>24.320843882010276</v>
      </c>
      <c r="L103" s="27">
        <f ca="1"/>
        <v>24</v>
      </c>
      <c r="M103" s="27">
        <f ca="1"/>
        <v>0.32084388201027636</v>
      </c>
      <c r="N103" s="46">
        <f ca="1"/>
        <v>1.3368495083761589E-2</v>
      </c>
      <c r="O103" s="27">
        <f ca="1"/>
        <v>0</v>
      </c>
      <c r="P103" t="str">
        <f ca="1"/>
        <v/>
      </c>
      <c r="Q103" t="str">
        <f ca="1"/>
        <v/>
      </c>
      <c r="R103" t="str">
        <f ca="1"/>
        <v/>
      </c>
      <c r="S103" t="str">
        <f ca="1"/>
        <v/>
      </c>
      <c r="T103" t="str">
        <f ca="1"/>
        <v/>
      </c>
      <c r="U103" t="str">
        <f ca="1"/>
        <v/>
      </c>
      <c r="V103" t="str">
        <f ca="1"/>
        <v/>
      </c>
      <c r="W103" t="str">
        <f ca="1"/>
        <v/>
      </c>
      <c r="X103" t="str">
        <f ca="1"/>
        <v/>
      </c>
      <c r="Y103" t="str">
        <f ca="1"/>
        <v/>
      </c>
      <c r="Z103" t="str">
        <f ca="1"/>
        <v/>
      </c>
    </row>
    <row r="104" spans="1:26" x14ac:dyDescent="0.3">
      <c r="A104" s="11">
        <v>43647</v>
      </c>
      <c r="B104" s="12">
        <v>24</v>
      </c>
      <c r="C104" s="12">
        <v>0</v>
      </c>
      <c r="I104" s="44">
        <f ca="1"/>
        <v>102</v>
      </c>
      <c r="J104" s="43">
        <f ca="1"/>
        <v>43647</v>
      </c>
      <c r="K104" s="39">
        <f ca="1"/>
        <v>24.786365971135517</v>
      </c>
      <c r="L104" s="27">
        <f ca="1"/>
        <v>24</v>
      </c>
      <c r="M104" s="27">
        <f ca="1"/>
        <v>0.78636597113551687</v>
      </c>
      <c r="N104" s="46">
        <f ca="1"/>
        <v>3.2765248797313129E-2</v>
      </c>
      <c r="O104" s="27">
        <f ca="1"/>
        <v>0</v>
      </c>
      <c r="P104" t="str">
        <f ca="1"/>
        <v/>
      </c>
      <c r="Q104" t="str">
        <f ca="1"/>
        <v/>
      </c>
      <c r="R104" t="str">
        <f ca="1"/>
        <v/>
      </c>
      <c r="S104" t="str">
        <f ca="1"/>
        <v/>
      </c>
      <c r="T104" t="str">
        <f ca="1"/>
        <v/>
      </c>
      <c r="U104" t="str">
        <f ca="1"/>
        <v/>
      </c>
      <c r="V104" t="str">
        <f ca="1"/>
        <v/>
      </c>
      <c r="W104" t="str">
        <f ca="1"/>
        <v/>
      </c>
      <c r="X104" t="str">
        <f ca="1"/>
        <v/>
      </c>
      <c r="Y104" t="str">
        <f ca="1"/>
        <v/>
      </c>
      <c r="Z104" t="str">
        <f ca="1"/>
        <v/>
      </c>
    </row>
    <row r="105" spans="1:26" x14ac:dyDescent="0.3">
      <c r="A105" s="11">
        <v>43678</v>
      </c>
      <c r="B105" s="12">
        <v>30</v>
      </c>
      <c r="C105" s="12">
        <v>0</v>
      </c>
      <c r="I105" s="44">
        <f ca="1"/>
        <v>103</v>
      </c>
      <c r="J105" s="43">
        <f ca="1"/>
        <v>43678</v>
      </c>
      <c r="K105" s="39">
        <f ca="1"/>
        <v>28.001413535579882</v>
      </c>
      <c r="L105" s="27">
        <f ca="1"/>
        <v>30</v>
      </c>
      <c r="M105" s="27">
        <f ca="1"/>
        <v>-1.9985864644201179</v>
      </c>
      <c r="N105" s="46">
        <f ca="1"/>
        <v>-6.6619548814003893E-2</v>
      </c>
      <c r="O105" s="27">
        <f ca="1"/>
        <v>0</v>
      </c>
      <c r="P105" t="str">
        <f ca="1"/>
        <v/>
      </c>
      <c r="Q105" t="str">
        <f ca="1"/>
        <v/>
      </c>
      <c r="R105" t="str">
        <f ca="1"/>
        <v/>
      </c>
      <c r="S105" t="str">
        <f ca="1"/>
        <v/>
      </c>
      <c r="T105" t="str">
        <f ca="1"/>
        <v/>
      </c>
      <c r="U105" t="str">
        <f ca="1"/>
        <v/>
      </c>
      <c r="V105" t="str">
        <f ca="1"/>
        <v/>
      </c>
      <c r="W105" t="str">
        <f ca="1"/>
        <v/>
      </c>
      <c r="X105" t="str">
        <f ca="1"/>
        <v/>
      </c>
      <c r="Y105" t="str">
        <f ca="1"/>
        <v/>
      </c>
      <c r="Z105" t="str">
        <f ca="1"/>
        <v/>
      </c>
    </row>
    <row r="106" spans="1:26" x14ac:dyDescent="0.3">
      <c r="A106" s="11">
        <v>43709</v>
      </c>
      <c r="B106" s="12">
        <v>36</v>
      </c>
      <c r="C106" s="12">
        <v>0</v>
      </c>
      <c r="I106" s="44">
        <f ca="1"/>
        <v>104</v>
      </c>
      <c r="J106" s="43">
        <f ca="1"/>
        <v>43709</v>
      </c>
      <c r="K106" s="39">
        <f ca="1"/>
        <v>36.037300882099025</v>
      </c>
      <c r="L106" s="27">
        <f ca="1"/>
        <v>36</v>
      </c>
      <c r="M106" s="27">
        <f ca="1"/>
        <v>3.7300882099025046E-2</v>
      </c>
      <c r="N106" s="46">
        <f ca="1"/>
        <v>1.0361356138617328E-3</v>
      </c>
      <c r="O106" s="27">
        <f ca="1"/>
        <v>0</v>
      </c>
      <c r="P106" t="str">
        <f ca="1"/>
        <v/>
      </c>
      <c r="Q106" t="str">
        <f ca="1"/>
        <v/>
      </c>
      <c r="R106" t="str">
        <f ca="1"/>
        <v/>
      </c>
      <c r="S106" t="str">
        <f ca="1"/>
        <v/>
      </c>
      <c r="T106" t="str">
        <f ca="1"/>
        <v/>
      </c>
      <c r="U106" t="str">
        <f ca="1"/>
        <v/>
      </c>
      <c r="V106" t="str">
        <f ca="1"/>
        <v/>
      </c>
      <c r="W106" t="str">
        <f ca="1"/>
        <v/>
      </c>
      <c r="X106" t="str">
        <f ca="1"/>
        <v/>
      </c>
      <c r="Y106" t="str">
        <f ca="1"/>
        <v/>
      </c>
      <c r="Z106" t="str">
        <f ca="1"/>
        <v/>
      </c>
    </row>
    <row r="107" spans="1:26" x14ac:dyDescent="0.3">
      <c r="A107" s="11">
        <v>43739</v>
      </c>
      <c r="B107" s="12">
        <v>53</v>
      </c>
      <c r="C107" s="12">
        <v>1</v>
      </c>
      <c r="I107" s="44">
        <f ca="1"/>
        <v>105</v>
      </c>
      <c r="J107" s="43">
        <f ca="1"/>
        <v>43739</v>
      </c>
      <c r="K107" s="39">
        <f ca="1"/>
        <v>46.122290251287161</v>
      </c>
      <c r="L107" s="27">
        <f ca="1"/>
        <v>53</v>
      </c>
      <c r="M107" s="27">
        <f ca="1"/>
        <v>-6.8777097487128387</v>
      </c>
      <c r="N107" s="46">
        <f ca="1"/>
        <v>-0.12976810846627995</v>
      </c>
      <c r="O107" s="27">
        <f ca="1"/>
        <v>1</v>
      </c>
      <c r="P107" t="str">
        <f ca="1"/>
        <v/>
      </c>
      <c r="Q107" t="str">
        <f ca="1"/>
        <v/>
      </c>
      <c r="R107" t="str">
        <f ca="1"/>
        <v/>
      </c>
      <c r="S107" t="str">
        <f ca="1"/>
        <v/>
      </c>
      <c r="T107" t="str">
        <f ca="1"/>
        <v/>
      </c>
      <c r="U107" t="str">
        <f ca="1"/>
        <v/>
      </c>
      <c r="V107" t="str">
        <f ca="1"/>
        <v/>
      </c>
      <c r="W107" t="str">
        <f ca="1"/>
        <v/>
      </c>
      <c r="X107" t="str">
        <f ca="1"/>
        <v/>
      </c>
      <c r="Y107" t="str">
        <f ca="1"/>
        <v/>
      </c>
      <c r="Z107" t="str">
        <f ca="1"/>
        <v/>
      </c>
    </row>
    <row r="108" spans="1:26" x14ac:dyDescent="0.3">
      <c r="A108" s="11">
        <v>43770</v>
      </c>
      <c r="B108" s="12">
        <v>75</v>
      </c>
      <c r="C108" s="12">
        <v>1</v>
      </c>
      <c r="I108" s="44">
        <f ca="1"/>
        <v>106</v>
      </c>
      <c r="J108" s="43">
        <f ca="1"/>
        <v>43770</v>
      </c>
      <c r="K108" s="39">
        <f ca="1"/>
        <v>63.113708157233447</v>
      </c>
      <c r="L108" s="27">
        <f ca="1"/>
        <v>75</v>
      </c>
      <c r="M108" s="27">
        <f ca="1"/>
        <v>-11.886291842766553</v>
      </c>
      <c r="N108" s="46">
        <f ca="1"/>
        <v>-0.15848389123688733</v>
      </c>
      <c r="O108" s="27">
        <f ca="1"/>
        <v>1</v>
      </c>
      <c r="P108" t="str">
        <f ca="1"/>
        <v/>
      </c>
      <c r="Q108" t="str">
        <f ca="1"/>
        <v/>
      </c>
      <c r="R108" t="str">
        <f ca="1"/>
        <v/>
      </c>
      <c r="S108" t="str">
        <f ca="1"/>
        <v/>
      </c>
      <c r="T108" t="str">
        <f ca="1"/>
        <v/>
      </c>
      <c r="U108" t="str">
        <f ca="1"/>
        <v/>
      </c>
      <c r="V108" t="str">
        <f ca="1"/>
        <v/>
      </c>
      <c r="W108" t="str">
        <f ca="1"/>
        <v/>
      </c>
      <c r="X108" t="str">
        <f ca="1"/>
        <v/>
      </c>
      <c r="Y108" t="str">
        <f ca="1"/>
        <v/>
      </c>
      <c r="Z108" t="str">
        <f ca="1"/>
        <v/>
      </c>
    </row>
    <row r="109" spans="1:26" x14ac:dyDescent="0.3">
      <c r="A109" s="11">
        <v>43800</v>
      </c>
      <c r="B109" s="12">
        <v>82</v>
      </c>
      <c r="C109" s="12">
        <v>1</v>
      </c>
      <c r="I109" s="44">
        <f ca="1"/>
        <v>107</v>
      </c>
      <c r="J109" s="43">
        <f ca="1"/>
        <v>43800</v>
      </c>
      <c r="K109" s="39">
        <f ca="1"/>
        <v>79.935514606453225</v>
      </c>
      <c r="L109" s="27">
        <f ca="1"/>
        <v>82</v>
      </c>
      <c r="M109" s="27">
        <f ca="1"/>
        <v>-2.0644853935467751</v>
      </c>
      <c r="N109" s="46">
        <f ca="1"/>
        <v>-2.5176651140814355E-2</v>
      </c>
      <c r="O109" s="27">
        <f ca="1"/>
        <v>1</v>
      </c>
      <c r="P109" t="str">
        <f ca="1"/>
        <v/>
      </c>
      <c r="Q109" t="str">
        <f ca="1"/>
        <v/>
      </c>
      <c r="R109" t="str">
        <f ca="1"/>
        <v/>
      </c>
      <c r="S109" t="str">
        <f ca="1"/>
        <v/>
      </c>
      <c r="T109" t="str">
        <f ca="1"/>
        <v/>
      </c>
      <c r="U109" t="str">
        <f ca="1"/>
        <v/>
      </c>
      <c r="V109" t="str">
        <f ca="1"/>
        <v/>
      </c>
      <c r="W109" t="str">
        <f ca="1"/>
        <v/>
      </c>
      <c r="X109" t="str">
        <f ca="1"/>
        <v/>
      </c>
      <c r="Y109" t="str">
        <f ca="1"/>
        <v/>
      </c>
      <c r="Z109" t="str">
        <f ca="1"/>
        <v/>
      </c>
    </row>
    <row r="110" spans="1:26" x14ac:dyDescent="0.3">
      <c r="A110" s="11">
        <v>43831</v>
      </c>
      <c r="B110" s="12">
        <v>55</v>
      </c>
      <c r="C110" s="12">
        <v>0</v>
      </c>
      <c r="I110" s="44">
        <f ca="1"/>
        <v>108</v>
      </c>
      <c r="J110" s="43">
        <f ca="1"/>
        <v>43831</v>
      </c>
      <c r="K110" s="39">
        <f ca="1"/>
        <v>58.099971222922377</v>
      </c>
      <c r="L110" s="27">
        <f ca="1"/>
        <v>55</v>
      </c>
      <c r="M110" s="27">
        <f ca="1"/>
        <v>3.0999712229223775</v>
      </c>
      <c r="N110" s="46">
        <f ca="1"/>
        <v>5.6363113144043187E-2</v>
      </c>
      <c r="O110" s="27">
        <f ca="1"/>
        <v>0</v>
      </c>
      <c r="P110" t="str">
        <f ca="1"/>
        <v/>
      </c>
      <c r="Q110" t="str">
        <f ca="1"/>
        <v/>
      </c>
      <c r="R110" t="str">
        <f ca="1"/>
        <v/>
      </c>
      <c r="S110" t="str">
        <f ca="1"/>
        <v/>
      </c>
      <c r="T110" t="str">
        <f ca="1"/>
        <v/>
      </c>
      <c r="U110" t="str">
        <f ca="1"/>
        <v/>
      </c>
      <c r="V110" t="str">
        <f ca="1"/>
        <v/>
      </c>
      <c r="W110" t="str">
        <f ca="1"/>
        <v/>
      </c>
      <c r="X110" t="str">
        <f ca="1"/>
        <v/>
      </c>
      <c r="Y110" t="str">
        <f ca="1"/>
        <v/>
      </c>
      <c r="Z110" t="str">
        <f ca="1"/>
        <v/>
      </c>
    </row>
    <row r="111" spans="1:26" x14ac:dyDescent="0.3">
      <c r="A111" s="11">
        <v>43862</v>
      </c>
      <c r="B111" s="12">
        <v>52</v>
      </c>
      <c r="C111" s="12">
        <v>0</v>
      </c>
      <c r="I111" s="44">
        <f ca="1"/>
        <v>109</v>
      </c>
      <c r="J111" s="43">
        <f ca="1"/>
        <v>43862</v>
      </c>
      <c r="K111" s="39">
        <f ca="1"/>
        <v>50.382676987137991</v>
      </c>
      <c r="L111" s="27">
        <f ca="1"/>
        <v>52</v>
      </c>
      <c r="M111" s="27">
        <f ca="1"/>
        <v>-1.6173230128620091</v>
      </c>
      <c r="N111" s="46">
        <f ca="1"/>
        <v>-3.110236563196167E-2</v>
      </c>
      <c r="O111" s="27">
        <f ca="1"/>
        <v>0</v>
      </c>
      <c r="P111" t="str">
        <f ca="1"/>
        <v/>
      </c>
      <c r="Q111" t="str">
        <f ca="1"/>
        <v/>
      </c>
      <c r="R111" t="str">
        <f ca="1"/>
        <v/>
      </c>
      <c r="S111" t="str">
        <f ca="1"/>
        <v/>
      </c>
      <c r="T111" t="str">
        <f ca="1"/>
        <v/>
      </c>
      <c r="U111" t="str">
        <f ca="1"/>
        <v/>
      </c>
      <c r="V111" t="str">
        <f ca="1"/>
        <v/>
      </c>
      <c r="W111" t="str">
        <f ca="1"/>
        <v/>
      </c>
      <c r="X111" t="str">
        <f ca="1"/>
        <v/>
      </c>
      <c r="Y111" t="str">
        <f ca="1"/>
        <v/>
      </c>
      <c r="Z111" t="str">
        <f ca="1"/>
        <v/>
      </c>
    </row>
    <row r="112" spans="1:26" x14ac:dyDescent="0.3">
      <c r="A112" s="11">
        <v>43891</v>
      </c>
      <c r="B112" s="12">
        <v>57</v>
      </c>
      <c r="C112" s="12">
        <v>0</v>
      </c>
      <c r="I112" s="44">
        <f ca="1"/>
        <v>110</v>
      </c>
      <c r="J112" s="43">
        <f ca="1"/>
        <v>43891</v>
      </c>
      <c r="K112" s="39">
        <f ca="1"/>
        <v>46.168855978954497</v>
      </c>
      <c r="L112" s="27">
        <f ca="1"/>
        <v>57</v>
      </c>
      <c r="M112" s="27">
        <f ca="1"/>
        <v>-10.831144021045503</v>
      </c>
      <c r="N112" s="46">
        <f ca="1"/>
        <v>-0.19002007054465797</v>
      </c>
      <c r="O112" s="27">
        <f ca="1"/>
        <v>0</v>
      </c>
      <c r="P112" t="str">
        <f ca="1"/>
        <v/>
      </c>
      <c r="Q112" t="str">
        <f ca="1"/>
        <v/>
      </c>
      <c r="R112" t="str">
        <f ca="1"/>
        <v/>
      </c>
      <c r="S112" t="str">
        <f ca="1"/>
        <v/>
      </c>
      <c r="T112" t="str">
        <f ca="1"/>
        <v/>
      </c>
      <c r="U112" t="str">
        <f ca="1"/>
        <v/>
      </c>
      <c r="V112" t="str">
        <f ca="1"/>
        <v/>
      </c>
      <c r="W112" t="str">
        <f ca="1"/>
        <v/>
      </c>
      <c r="X112" t="str">
        <f ca="1"/>
        <v/>
      </c>
      <c r="Y112" t="str">
        <f ca="1"/>
        <v/>
      </c>
      <c r="Z112" t="str">
        <f ca="1"/>
        <v/>
      </c>
    </row>
    <row r="113" spans="1:26" x14ac:dyDescent="0.3">
      <c r="A113" s="11">
        <v>43922</v>
      </c>
      <c r="B113" s="12">
        <v>80</v>
      </c>
      <c r="C113" s="12">
        <v>1</v>
      </c>
      <c r="I113" s="44">
        <f ca="1"/>
        <v>111</v>
      </c>
      <c r="J113" s="43">
        <f ca="1"/>
        <v>43922</v>
      </c>
      <c r="K113" s="39">
        <f ca="1"/>
        <v>66.03710778791492</v>
      </c>
      <c r="L113" s="27">
        <f ca="1"/>
        <v>80</v>
      </c>
      <c r="M113" s="27">
        <f ca="1"/>
        <v>-13.96289221208508</v>
      </c>
      <c r="N113" s="46">
        <f ca="1"/>
        <v>-0.17453615265106348</v>
      </c>
      <c r="O113" s="27">
        <f ca="1"/>
        <v>1</v>
      </c>
      <c r="P113" t="str">
        <f ca="1"/>
        <v/>
      </c>
      <c r="Q113" t="str">
        <f ca="1"/>
        <v/>
      </c>
      <c r="R113" t="str">
        <f ca="1"/>
        <v/>
      </c>
      <c r="S113" t="str">
        <f ca="1"/>
        <v/>
      </c>
      <c r="T113" t="str">
        <f ca="1"/>
        <v/>
      </c>
      <c r="U113" t="str">
        <f ca="1"/>
        <v/>
      </c>
      <c r="V113" t="str">
        <f ca="1"/>
        <v/>
      </c>
      <c r="W113" t="str">
        <f ca="1"/>
        <v/>
      </c>
      <c r="X113" t="str">
        <f ca="1"/>
        <v/>
      </c>
      <c r="Y113" t="str">
        <f ca="1"/>
        <v/>
      </c>
      <c r="Z113" t="str">
        <f ca="1"/>
        <v/>
      </c>
    </row>
    <row r="114" spans="1:26" x14ac:dyDescent="0.3">
      <c r="A114" s="11">
        <v>43952</v>
      </c>
      <c r="B114" s="12">
        <v>65</v>
      </c>
      <c r="C114" s="12">
        <v>1</v>
      </c>
      <c r="I114" s="44">
        <f ca="1"/>
        <v>112</v>
      </c>
      <c r="J114" s="43">
        <f ca="1"/>
        <v>43952</v>
      </c>
      <c r="K114" s="39">
        <f ca="1"/>
        <v>70.119611085830527</v>
      </c>
      <c r="L114" s="27">
        <f ca="1"/>
        <v>65</v>
      </c>
      <c r="M114" s="27">
        <f ca="1"/>
        <v>5.1196110858305275</v>
      </c>
      <c r="N114" s="46">
        <f ca="1"/>
        <v>7.8763247474315845E-2</v>
      </c>
      <c r="O114" s="27">
        <f ca="1"/>
        <v>1</v>
      </c>
      <c r="P114" t="str">
        <f ca="1"/>
        <v/>
      </c>
      <c r="Q114" t="str">
        <f ca="1"/>
        <v/>
      </c>
      <c r="R114" t="str">
        <f ca="1"/>
        <v/>
      </c>
      <c r="S114" t="str">
        <f ca="1"/>
        <v/>
      </c>
      <c r="T114" t="str">
        <f ca="1"/>
        <v/>
      </c>
      <c r="U114" t="str">
        <f ca="1"/>
        <v/>
      </c>
      <c r="V114" t="str">
        <f ca="1"/>
        <v/>
      </c>
      <c r="W114" t="str">
        <f ca="1"/>
        <v/>
      </c>
      <c r="X114" t="str">
        <f ca="1"/>
        <v/>
      </c>
      <c r="Y114" t="str">
        <f ca="1"/>
        <v/>
      </c>
      <c r="Z114" t="str">
        <f ca="1"/>
        <v/>
      </c>
    </row>
    <row r="115" spans="1:26" x14ac:dyDescent="0.3">
      <c r="A115" s="11">
        <v>43983</v>
      </c>
      <c r="B115" s="12">
        <v>48</v>
      </c>
      <c r="C115" s="12">
        <v>1</v>
      </c>
      <c r="I115" s="44">
        <f ca="1"/>
        <v>113</v>
      </c>
      <c r="J115" s="43">
        <f ca="1"/>
        <v>43983</v>
      </c>
      <c r="K115" s="39">
        <f ca="1"/>
        <v>61.20191911485616</v>
      </c>
      <c r="L115" s="27">
        <f ca="1"/>
        <v>48</v>
      </c>
      <c r="M115" s="27">
        <f ca="1"/>
        <v>13.20191911485616</v>
      </c>
      <c r="N115" s="46">
        <f ca="1"/>
        <v>0.27503998155950327</v>
      </c>
      <c r="O115" s="27">
        <f ca="1"/>
        <v>1</v>
      </c>
      <c r="P115" t="str">
        <f ca="1"/>
        <v/>
      </c>
      <c r="Q115" t="str">
        <f ca="1"/>
        <v/>
      </c>
      <c r="R115" t="str">
        <f ca="1"/>
        <v/>
      </c>
      <c r="S115" t="str">
        <f ca="1"/>
        <v/>
      </c>
      <c r="T115" t="str">
        <f ca="1"/>
        <v/>
      </c>
      <c r="U115" t="str">
        <f ca="1"/>
        <v/>
      </c>
      <c r="V115" t="str">
        <f ca="1"/>
        <v/>
      </c>
      <c r="W115" t="str">
        <f ca="1"/>
        <v/>
      </c>
      <c r="X115" t="str">
        <f ca="1"/>
        <v/>
      </c>
      <c r="Y115" t="str">
        <f ca="1"/>
        <v/>
      </c>
      <c r="Z115" t="str">
        <f ca="1"/>
        <v/>
      </c>
    </row>
    <row r="116" spans="1:26" x14ac:dyDescent="0.3">
      <c r="A116" s="11">
        <v>44013</v>
      </c>
      <c r="B116" s="12">
        <v>45</v>
      </c>
      <c r="C116" s="12">
        <v>0</v>
      </c>
      <c r="I116" s="44">
        <f ca="1"/>
        <v>114</v>
      </c>
      <c r="J116" s="43">
        <f ca="1"/>
        <v>44013</v>
      </c>
      <c r="K116" s="39">
        <f ca="1"/>
        <v>37.714049424824637</v>
      </c>
      <c r="L116" s="27">
        <f ca="1"/>
        <v>45</v>
      </c>
      <c r="M116" s="27">
        <f ca="1"/>
        <v>-7.285950575175363</v>
      </c>
      <c r="N116" s="46">
        <f ca="1"/>
        <v>-0.16191001278167472</v>
      </c>
      <c r="O116" s="27">
        <f ca="1"/>
        <v>0</v>
      </c>
      <c r="P116" t="str">
        <f ca="1"/>
        <v/>
      </c>
      <c r="Q116" t="str">
        <f ca="1"/>
        <v/>
      </c>
      <c r="R116" t="str">
        <f ca="1"/>
        <v/>
      </c>
      <c r="S116" t="str">
        <f ca="1"/>
        <v/>
      </c>
      <c r="T116" t="str">
        <f ca="1"/>
        <v/>
      </c>
      <c r="U116" t="str">
        <f ca="1"/>
        <v/>
      </c>
      <c r="V116" t="str">
        <f ca="1"/>
        <v/>
      </c>
      <c r="W116" t="str">
        <f ca="1"/>
        <v/>
      </c>
      <c r="X116" t="str">
        <f ca="1"/>
        <v/>
      </c>
      <c r="Y116" t="str">
        <f ca="1"/>
        <v/>
      </c>
      <c r="Z116" t="str">
        <f ca="1"/>
        <v/>
      </c>
    </row>
    <row r="117" spans="1:26" x14ac:dyDescent="0.3">
      <c r="A117" s="11">
        <v>44044</v>
      </c>
      <c r="B117" s="12">
        <v>49</v>
      </c>
      <c r="C117" s="12">
        <v>0</v>
      </c>
      <c r="I117" s="44">
        <f ca="1"/>
        <v>115</v>
      </c>
      <c r="J117" s="43">
        <f ca="1"/>
        <v>44044</v>
      </c>
      <c r="K117" s="39">
        <f ca="1"/>
        <v>51.118753423025481</v>
      </c>
      <c r="L117" s="27">
        <f ca="1"/>
        <v>49</v>
      </c>
      <c r="M117" s="27">
        <f ca="1"/>
        <v>2.1187534230254812</v>
      </c>
      <c r="N117" s="46">
        <f ca="1"/>
        <v>4.3239865776030229E-2</v>
      </c>
      <c r="O117" s="27">
        <f ca="1"/>
        <v>0</v>
      </c>
      <c r="P117" t="str">
        <f ca="1"/>
        <v/>
      </c>
      <c r="Q117" t="str">
        <f ca="1"/>
        <v/>
      </c>
      <c r="R117" t="str">
        <f ca="1"/>
        <v/>
      </c>
      <c r="S117" t="str">
        <f ca="1"/>
        <v/>
      </c>
      <c r="T117" t="str">
        <f ca="1"/>
        <v/>
      </c>
      <c r="U117" t="str">
        <f ca="1"/>
        <v/>
      </c>
      <c r="V117" t="str">
        <f ca="1"/>
        <v/>
      </c>
      <c r="W117" t="str">
        <f ca="1"/>
        <v/>
      </c>
      <c r="X117" t="str">
        <f ca="1"/>
        <v/>
      </c>
      <c r="Y117" t="str">
        <f ca="1"/>
        <v/>
      </c>
      <c r="Z117" t="str">
        <f ca="1"/>
        <v/>
      </c>
    </row>
    <row r="118" spans="1:26" x14ac:dyDescent="0.3">
      <c r="A118" s="11">
        <v>44075</v>
      </c>
      <c r="B118" s="12">
        <v>65</v>
      </c>
      <c r="C118" s="12">
        <v>0</v>
      </c>
      <c r="I118" s="44">
        <f ca="1"/>
        <v>116</v>
      </c>
      <c r="J118" s="43">
        <f ca="1"/>
        <v>44075</v>
      </c>
      <c r="K118" s="39">
        <f ca="1"/>
        <v>57.960709979134435</v>
      </c>
      <c r="L118" s="27">
        <f ca="1"/>
        <v>65</v>
      </c>
      <c r="M118" s="27">
        <f ca="1"/>
        <v>-7.0392900208655647</v>
      </c>
      <c r="N118" s="46">
        <f ca="1"/>
        <v>-0.10829676955177792</v>
      </c>
      <c r="O118" s="27">
        <f ca="1"/>
        <v>0</v>
      </c>
      <c r="P118" t="str">
        <f ca="1"/>
        <v/>
      </c>
      <c r="Q118" t="str">
        <f ca="1"/>
        <v/>
      </c>
      <c r="R118" t="str">
        <f ca="1"/>
        <v/>
      </c>
      <c r="S118" t="str">
        <f ca="1"/>
        <v/>
      </c>
      <c r="T118" t="str">
        <f ca="1"/>
        <v/>
      </c>
      <c r="U118" t="str">
        <f ca="1"/>
        <v/>
      </c>
      <c r="V118" t="str">
        <f ca="1"/>
        <v/>
      </c>
      <c r="W118" t="str">
        <f ca="1"/>
        <v/>
      </c>
      <c r="X118" t="str">
        <f ca="1"/>
        <v/>
      </c>
      <c r="Y118" t="str">
        <f ca="1"/>
        <v/>
      </c>
      <c r="Z118" t="str">
        <f ca="1"/>
        <v/>
      </c>
    </row>
    <row r="119" spans="1:26" x14ac:dyDescent="0.3">
      <c r="A119" s="11">
        <v>44105</v>
      </c>
      <c r="B119" s="12">
        <v>75</v>
      </c>
      <c r="C119" s="12">
        <v>1</v>
      </c>
      <c r="I119" s="44">
        <f ca="1"/>
        <v>117</v>
      </c>
      <c r="J119" s="43">
        <f ca="1"/>
        <v>44105</v>
      </c>
      <c r="K119" s="39">
        <f ca="1"/>
        <v>83.130693047885103</v>
      </c>
      <c r="L119" s="27">
        <f ca="1"/>
        <v>75</v>
      </c>
      <c r="M119" s="27">
        <f ca="1"/>
        <v>8.1306930478851029</v>
      </c>
      <c r="N119" s="46">
        <f ca="1"/>
        <v>0.10840924063846802</v>
      </c>
      <c r="O119" s="27">
        <f ca="1"/>
        <v>1</v>
      </c>
      <c r="P119" t="str">
        <f ca="1"/>
        <v/>
      </c>
      <c r="Q119" t="str">
        <f ca="1"/>
        <v/>
      </c>
      <c r="R119" t="str">
        <f ca="1"/>
        <v/>
      </c>
      <c r="S119" t="str">
        <f ca="1"/>
        <v/>
      </c>
      <c r="T119" t="str">
        <f ca="1"/>
        <v/>
      </c>
      <c r="U119" t="str">
        <f ca="1"/>
        <v/>
      </c>
      <c r="V119" t="str">
        <f ca="1"/>
        <v/>
      </c>
      <c r="W119" t="str">
        <f ca="1"/>
        <v/>
      </c>
      <c r="X119" t="str">
        <f ca="1"/>
        <v/>
      </c>
      <c r="Y119" t="str">
        <f ca="1"/>
        <v/>
      </c>
      <c r="Z119" t="str">
        <f ca="1"/>
        <v/>
      </c>
    </row>
    <row r="120" spans="1:26" x14ac:dyDescent="0.3">
      <c r="A120" s="11">
        <v>44136</v>
      </c>
      <c r="B120" s="12">
        <v>95</v>
      </c>
      <c r="C120" s="12">
        <v>1</v>
      </c>
      <c r="I120" s="44">
        <f ca="1"/>
        <v>118</v>
      </c>
      <c r="J120" s="43">
        <f ca="1"/>
        <v>44136</v>
      </c>
      <c r="K120" s="39">
        <f ca="1"/>
        <v>102.7029992158996</v>
      </c>
      <c r="L120" s="27">
        <f ca="1"/>
        <v>95</v>
      </c>
      <c r="M120" s="27">
        <f ca="1"/>
        <v>7.7029992158995952</v>
      </c>
      <c r="N120" s="46">
        <f ca="1"/>
        <v>8.1084202272627248E-2</v>
      </c>
      <c r="O120" s="27">
        <f ca="1"/>
        <v>1</v>
      </c>
      <c r="P120" t="str">
        <f ca="1"/>
        <v/>
      </c>
      <c r="Q120" t="str">
        <f ca="1"/>
        <v/>
      </c>
      <c r="R120" t="str">
        <f ca="1"/>
        <v/>
      </c>
      <c r="S120" t="str">
        <f ca="1"/>
        <v/>
      </c>
      <c r="T120" t="str">
        <f ca="1"/>
        <v/>
      </c>
      <c r="U120" t="str">
        <f ca="1"/>
        <v/>
      </c>
      <c r="V120" t="str">
        <f ca="1"/>
        <v/>
      </c>
      <c r="W120" t="str">
        <f ca="1"/>
        <v/>
      </c>
      <c r="X120" t="str">
        <f ca="1"/>
        <v/>
      </c>
      <c r="Y120" t="str">
        <f ca="1"/>
        <v/>
      </c>
      <c r="Z120" t="str">
        <f ca="1"/>
        <v/>
      </c>
    </row>
    <row r="121" spans="1:26" x14ac:dyDescent="0.3">
      <c r="A121" s="11">
        <v>44166</v>
      </c>
      <c r="B121" s="12">
        <v>100</v>
      </c>
      <c r="C121" s="12">
        <v>1</v>
      </c>
      <c r="I121" s="44">
        <f ca="1"/>
        <v>119</v>
      </c>
      <c r="J121" s="43">
        <f ca="1"/>
        <v>44166</v>
      </c>
      <c r="K121" s="39">
        <f ca="1"/>
        <v>111.41673141101995</v>
      </c>
      <c r="L121" s="27">
        <f ca="1"/>
        <v>100</v>
      </c>
      <c r="M121" s="27">
        <f ca="1"/>
        <v>11.416731411019953</v>
      </c>
      <c r="N121" s="46">
        <f ca="1"/>
        <v>0.11416731411019954</v>
      </c>
      <c r="O121" s="27">
        <f ca="1"/>
        <v>1</v>
      </c>
      <c r="P121" t="str">
        <f ca="1"/>
        <v/>
      </c>
      <c r="Q121" t="str">
        <f ca="1"/>
        <v/>
      </c>
      <c r="R121" t="str">
        <f ca="1"/>
        <v/>
      </c>
      <c r="S121" t="str">
        <f ca="1"/>
        <v/>
      </c>
      <c r="T121" t="str">
        <f ca="1"/>
        <v/>
      </c>
      <c r="U121" t="str">
        <f ca="1"/>
        <v/>
      </c>
      <c r="V121" t="str">
        <f ca="1"/>
        <v/>
      </c>
      <c r="W121" t="str">
        <f ca="1"/>
        <v/>
      </c>
      <c r="X121" t="str">
        <f ca="1"/>
        <v/>
      </c>
      <c r="Y121" t="str">
        <f ca="1"/>
        <v/>
      </c>
      <c r="Z121" t="str">
        <f ca="1"/>
        <v/>
      </c>
    </row>
    <row r="122" spans="1:26" x14ac:dyDescent="0.3">
      <c r="A122" s="11">
        <v>44197</v>
      </c>
      <c r="B122" s="12">
        <v>70</v>
      </c>
      <c r="C122" s="12">
        <v>0</v>
      </c>
      <c r="I122" s="44">
        <f ca="1"/>
        <v>120</v>
      </c>
      <c r="J122" s="43">
        <f ca="1"/>
        <v>44197</v>
      </c>
      <c r="K122" s="39">
        <f ca="1"/>
        <v>80.652835428412374</v>
      </c>
      <c r="L122" s="27">
        <f ca="1"/>
        <v>70</v>
      </c>
      <c r="M122" s="27">
        <f ca="1"/>
        <v>10.652835428412374</v>
      </c>
      <c r="N122" s="46">
        <f ca="1"/>
        <v>0.15218336326303383</v>
      </c>
      <c r="O122" s="27">
        <f ca="1"/>
        <v>0</v>
      </c>
      <c r="P122" t="str">
        <f ca="1"/>
        <v/>
      </c>
      <c r="Q122" t="str">
        <f ca="1"/>
        <v/>
      </c>
      <c r="R122" t="str">
        <f ca="1"/>
        <v/>
      </c>
      <c r="S122" t="str">
        <f ca="1"/>
        <v/>
      </c>
      <c r="T122" t="str">
        <f ca="1"/>
        <v/>
      </c>
      <c r="U122" t="str">
        <f ca="1"/>
        <v/>
      </c>
      <c r="V122" t="str">
        <f ca="1"/>
        <v/>
      </c>
      <c r="W122" t="str">
        <f ca="1"/>
        <v/>
      </c>
      <c r="X122" t="str">
        <f ca="1"/>
        <v/>
      </c>
      <c r="Y122" t="str">
        <f ca="1"/>
        <v/>
      </c>
      <c r="Z122" t="str">
        <f ca="1"/>
        <v/>
      </c>
    </row>
    <row r="123" spans="1:26" x14ac:dyDescent="0.3">
      <c r="A123" s="11">
        <v>44228</v>
      </c>
      <c r="B123" s="12">
        <v>59</v>
      </c>
      <c r="C123" s="12">
        <v>0</v>
      </c>
      <c r="I123" s="44">
        <f ca="1"/>
        <v>121</v>
      </c>
      <c r="J123" s="43">
        <f ca="1"/>
        <v>44228</v>
      </c>
      <c r="K123" s="39">
        <f ca="1"/>
        <v>75.444572197242721</v>
      </c>
      <c r="L123" s="27">
        <f ca="1"/>
        <v>59</v>
      </c>
      <c r="M123" s="27">
        <f ca="1"/>
        <v>16.444572197242721</v>
      </c>
      <c r="N123" s="46">
        <f ca="1"/>
        <v>0.27872156266513093</v>
      </c>
      <c r="O123" s="27">
        <f ca="1"/>
        <v>0</v>
      </c>
      <c r="P123" t="str">
        <f ca="1"/>
        <v/>
      </c>
      <c r="Q123" t="str">
        <f ca="1"/>
        <v/>
      </c>
      <c r="R123" t="str">
        <f ca="1"/>
        <v/>
      </c>
      <c r="S123" t="str">
        <f ca="1"/>
        <v/>
      </c>
      <c r="T123" t="str">
        <f ca="1"/>
        <v/>
      </c>
      <c r="U123" t="str">
        <f ca="1"/>
        <v/>
      </c>
      <c r="V123" t="str">
        <f ca="1"/>
        <v/>
      </c>
      <c r="W123" t="str">
        <f ca="1"/>
        <v/>
      </c>
      <c r="X123" t="str">
        <f ca="1"/>
        <v/>
      </c>
      <c r="Y123" t="str">
        <f ca="1"/>
        <v/>
      </c>
      <c r="Z123" t="str">
        <f ca="1"/>
        <v/>
      </c>
    </row>
    <row r="124" spans="1:26" x14ac:dyDescent="0.3">
      <c r="A124" s="11">
        <v>44256</v>
      </c>
      <c r="B124" s="12">
        <v>48</v>
      </c>
      <c r="C124" s="12">
        <v>0</v>
      </c>
      <c r="I124" s="44">
        <f ca="1"/>
        <v>122</v>
      </c>
      <c r="J124" s="43">
        <f ca="1"/>
        <v>44256</v>
      </c>
      <c r="K124" s="39">
        <f ca="1"/>
        <v>71.749324341563607</v>
      </c>
      <c r="L124" s="27">
        <f ca="1"/>
        <v>48</v>
      </c>
      <c r="M124" s="27">
        <f ca="1"/>
        <v>23.749324341563607</v>
      </c>
      <c r="N124" s="46">
        <f ca="1"/>
        <v>0.49477759044924174</v>
      </c>
      <c r="O124" s="27">
        <f ca="1"/>
        <v>0</v>
      </c>
      <c r="P124" t="str">
        <f ca="1"/>
        <v/>
      </c>
      <c r="Q124" t="str">
        <f ca="1"/>
        <v/>
      </c>
      <c r="R124" t="str">
        <f ca="1"/>
        <v/>
      </c>
      <c r="S124" t="str">
        <f ca="1"/>
        <v/>
      </c>
      <c r="T124" t="str">
        <f ca="1"/>
        <v/>
      </c>
      <c r="U124" t="str">
        <f ca="1"/>
        <v/>
      </c>
      <c r="V124" t="str">
        <f ca="1"/>
        <v/>
      </c>
      <c r="W124" t="str">
        <f ca="1"/>
        <v/>
      </c>
      <c r="X124" t="str">
        <f ca="1"/>
        <v/>
      </c>
      <c r="Y124" t="str">
        <f ca="1"/>
        <v/>
      </c>
      <c r="Z124" t="str">
        <f ca="1"/>
        <v/>
      </c>
    </row>
    <row r="125" spans="1:26" x14ac:dyDescent="0.3">
      <c r="A125" s="11">
        <v>44287</v>
      </c>
      <c r="B125" s="12">
        <v>40</v>
      </c>
      <c r="C125" s="12">
        <v>0</v>
      </c>
      <c r="I125" s="44">
        <f ca="1"/>
        <v>123</v>
      </c>
      <c r="J125" s="43">
        <f ca="1"/>
        <v>44287</v>
      </c>
      <c r="K125" s="39">
        <f ca="1"/>
        <v>68.317389623641745</v>
      </c>
      <c r="L125" s="27">
        <f ca="1"/>
        <v>40</v>
      </c>
      <c r="M125" s="27">
        <f ca="1"/>
        <v>28.317389623641745</v>
      </c>
      <c r="N125" s="46">
        <f ca="1"/>
        <v>0.70793474059104367</v>
      </c>
      <c r="O125" s="27">
        <f ca="1"/>
        <v>0</v>
      </c>
      <c r="P125" t="str">
        <f ca="1"/>
        <v/>
      </c>
      <c r="Q125" t="str">
        <f ca="1"/>
        <v/>
      </c>
      <c r="R125" t="str">
        <f ca="1"/>
        <v/>
      </c>
      <c r="S125" t="str">
        <f ca="1"/>
        <v/>
      </c>
      <c r="T125" t="str">
        <f ca="1"/>
        <v/>
      </c>
      <c r="U125" t="str">
        <f ca="1"/>
        <v/>
      </c>
      <c r="V125" t="str">
        <f ca="1"/>
        <v/>
      </c>
      <c r="W125" t="str">
        <f ca="1"/>
        <v/>
      </c>
      <c r="X125" t="str">
        <f ca="1"/>
        <v/>
      </c>
      <c r="Y125" t="str">
        <f ca="1"/>
        <v/>
      </c>
      <c r="Z125" t="str">
        <f ca="1"/>
        <v/>
      </c>
    </row>
    <row r="126" spans="1:26" x14ac:dyDescent="0.3">
      <c r="A126" s="11">
        <v>44317</v>
      </c>
      <c r="B126" s="12">
        <v>34</v>
      </c>
      <c r="C126" s="12">
        <v>-1</v>
      </c>
      <c r="I126" s="44">
        <f ca="1"/>
        <v>124</v>
      </c>
      <c r="J126" s="43">
        <f ca="1"/>
        <v>44317</v>
      </c>
      <c r="K126" s="39">
        <f ca="1"/>
        <v>45.209758110428766</v>
      </c>
      <c r="L126" s="27">
        <f ca="1"/>
        <v>34</v>
      </c>
      <c r="M126" s="27">
        <f ca="1"/>
        <v>11.209758110428766</v>
      </c>
      <c r="N126" s="46">
        <f ca="1"/>
        <v>0.32969876795378728</v>
      </c>
      <c r="O126" s="27">
        <f ca="1"/>
        <v>-1</v>
      </c>
      <c r="P126" t="str">
        <f ca="1"/>
        <v/>
      </c>
      <c r="Q126" t="str">
        <f ca="1"/>
        <v/>
      </c>
      <c r="R126" t="str">
        <f ca="1"/>
        <v/>
      </c>
      <c r="S126" t="str">
        <f ca="1"/>
        <v/>
      </c>
      <c r="T126" t="str">
        <f ca="1"/>
        <v/>
      </c>
      <c r="U126" t="str">
        <f ca="1"/>
        <v/>
      </c>
      <c r="V126" t="str">
        <f ca="1"/>
        <v/>
      </c>
      <c r="W126" t="str">
        <f ca="1"/>
        <v/>
      </c>
      <c r="X126" t="str">
        <f ca="1"/>
        <v/>
      </c>
      <c r="Y126" t="str">
        <f ca="1"/>
        <v/>
      </c>
      <c r="Z126" t="str">
        <f ca="1"/>
        <v/>
      </c>
    </row>
    <row r="127" spans="1:26" x14ac:dyDescent="0.3">
      <c r="A127" s="11">
        <v>44348</v>
      </c>
      <c r="B127" s="12">
        <v>29</v>
      </c>
      <c r="C127" s="12">
        <v>-1</v>
      </c>
      <c r="I127" s="44">
        <f ca="1"/>
        <v>125</v>
      </c>
      <c r="J127" s="43">
        <f ca="1"/>
        <v>44348</v>
      </c>
      <c r="K127" s="39">
        <f ca="1"/>
        <v>39.349504977182953</v>
      </c>
      <c r="L127" s="27">
        <f ca="1"/>
        <v>29</v>
      </c>
      <c r="M127" s="27">
        <f ca="1"/>
        <v>10.349504977182953</v>
      </c>
      <c r="N127" s="46">
        <f ca="1"/>
        <v>0.35687948197182595</v>
      </c>
      <c r="O127" s="27">
        <f ca="1"/>
        <v>-1</v>
      </c>
      <c r="P127" t="str">
        <f ca="1"/>
        <v/>
      </c>
      <c r="Q127" t="str">
        <f ca="1"/>
        <v/>
      </c>
      <c r="R127" t="str">
        <f ca="1"/>
        <v/>
      </c>
      <c r="S127" t="str">
        <f ca="1"/>
        <v/>
      </c>
      <c r="T127" t="str">
        <f ca="1"/>
        <v/>
      </c>
      <c r="U127" t="str">
        <f ca="1"/>
        <v/>
      </c>
      <c r="V127" t="str">
        <f ca="1"/>
        <v/>
      </c>
      <c r="W127" t="str">
        <f ca="1"/>
        <v/>
      </c>
      <c r="X127" t="str">
        <f ca="1"/>
        <v/>
      </c>
      <c r="Y127" t="str">
        <f ca="1"/>
        <v/>
      </c>
      <c r="Z127" t="str">
        <f ca="1"/>
        <v/>
      </c>
    </row>
    <row r="128" spans="1:26" x14ac:dyDescent="0.3">
      <c r="A128" s="11">
        <v>44378</v>
      </c>
      <c r="B128" s="12">
        <v>32</v>
      </c>
      <c r="C128" s="12">
        <v>-1</v>
      </c>
      <c r="I128" s="44">
        <f ca="1"/>
        <v>126</v>
      </c>
      <c r="J128" s="43">
        <f ca="1"/>
        <v>44378</v>
      </c>
      <c r="K128" s="39">
        <f ca="1"/>
        <v>42.871746050187944</v>
      </c>
      <c r="L128" s="27">
        <f ca="1"/>
        <v>32</v>
      </c>
      <c r="M128" s="27">
        <f ca="1"/>
        <v>10.871746050187944</v>
      </c>
      <c r="N128" s="46">
        <f ca="1"/>
        <v>0.33974206406837326</v>
      </c>
      <c r="O128" s="27">
        <f ca="1"/>
        <v>-1</v>
      </c>
      <c r="P128" t="str">
        <f ca="1"/>
        <v/>
      </c>
      <c r="Q128" t="str">
        <f ca="1"/>
        <v/>
      </c>
      <c r="R128" t="str">
        <f ca="1"/>
        <v/>
      </c>
      <c r="S128" t="str">
        <f ca="1"/>
        <v/>
      </c>
      <c r="T128" t="str">
        <f ca="1"/>
        <v/>
      </c>
      <c r="U128" t="str">
        <f ca="1"/>
        <v/>
      </c>
      <c r="V128" t="str">
        <f ca="1"/>
        <v/>
      </c>
      <c r="W128" t="str">
        <f ca="1"/>
        <v/>
      </c>
      <c r="X128" t="str">
        <f ca="1"/>
        <v/>
      </c>
      <c r="Y128" t="str">
        <f ca="1"/>
        <v/>
      </c>
      <c r="Z128" t="str">
        <f ca="1"/>
        <v/>
      </c>
    </row>
    <row r="129" spans="1:26" x14ac:dyDescent="0.3">
      <c r="A129" s="11">
        <v>44409</v>
      </c>
      <c r="B129" s="12">
        <v>38</v>
      </c>
      <c r="C129" s="12">
        <v>-1</v>
      </c>
      <c r="I129" s="44">
        <f ca="1"/>
        <v>127</v>
      </c>
      <c r="J129" s="43">
        <f ca="1"/>
        <v>44409</v>
      </c>
      <c r="K129" s="39">
        <f ca="1"/>
        <v>48.684618041124651</v>
      </c>
      <c r="L129" s="27">
        <f ca="1"/>
        <v>38</v>
      </c>
      <c r="M129" s="27">
        <f ca="1"/>
        <v>10.684618041124651</v>
      </c>
      <c r="N129" s="46">
        <f ca="1"/>
        <v>0.28117415897696452</v>
      </c>
      <c r="O129" s="27">
        <f ca="1"/>
        <v>-1</v>
      </c>
      <c r="P129" t="str">
        <f ca="1"/>
        <v/>
      </c>
      <c r="Q129" t="str">
        <f ca="1"/>
        <v/>
      </c>
      <c r="R129" t="str">
        <f ca="1"/>
        <v/>
      </c>
      <c r="S129" t="str">
        <f ca="1"/>
        <v/>
      </c>
      <c r="T129" t="str">
        <f ca="1"/>
        <v/>
      </c>
      <c r="U129" t="str">
        <f ca="1"/>
        <v/>
      </c>
      <c r="V129" t="str">
        <f ca="1"/>
        <v/>
      </c>
      <c r="W129" t="str">
        <f ca="1"/>
        <v/>
      </c>
      <c r="X129" t="str">
        <f ca="1"/>
        <v/>
      </c>
      <c r="Y129" t="str">
        <f ca="1"/>
        <v/>
      </c>
      <c r="Z129" t="str">
        <f ca="1"/>
        <v/>
      </c>
    </row>
    <row r="130" spans="1:26" x14ac:dyDescent="0.3">
      <c r="A130" s="11">
        <v>44440</v>
      </c>
      <c r="B130" s="12">
        <v>45</v>
      </c>
      <c r="C130" s="12">
        <v>-1</v>
      </c>
      <c r="I130" s="44">
        <f ca="1"/>
        <v>128</v>
      </c>
      <c r="J130" s="43">
        <f ca="1"/>
        <v>44440</v>
      </c>
      <c r="K130" s="39">
        <f ca="1"/>
        <v>59.303761947782178</v>
      </c>
      <c r="L130" s="27">
        <f ca="1"/>
        <v>45</v>
      </c>
      <c r="M130" s="27">
        <f ca="1"/>
        <v>14.303761947782178</v>
      </c>
      <c r="N130" s="46">
        <f ca="1"/>
        <v>0.31786137661738167</v>
      </c>
      <c r="O130" s="27">
        <f ca="1"/>
        <v>-1</v>
      </c>
      <c r="P130" t="str">
        <f ca="1"/>
        <v/>
      </c>
      <c r="Q130" t="str">
        <f ca="1"/>
        <v/>
      </c>
      <c r="R130" t="str">
        <f ca="1"/>
        <v/>
      </c>
      <c r="S130" t="str">
        <f ca="1"/>
        <v/>
      </c>
      <c r="T130" t="str">
        <f ca="1"/>
        <v/>
      </c>
      <c r="U130" t="str">
        <f ca="1"/>
        <v/>
      </c>
      <c r="V130" t="str">
        <f ca="1"/>
        <v/>
      </c>
      <c r="W130" t="str">
        <f ca="1"/>
        <v/>
      </c>
      <c r="X130" t="str">
        <f ca="1"/>
        <v/>
      </c>
      <c r="Y130" t="str">
        <f ca="1"/>
        <v/>
      </c>
      <c r="Z130" t="str">
        <f ca="1"/>
        <v/>
      </c>
    </row>
    <row r="131" spans="1:26" x14ac:dyDescent="0.3">
      <c r="A131" s="11">
        <v>44470</v>
      </c>
      <c r="B131" s="12"/>
      <c r="C131" s="12">
        <v>0</v>
      </c>
      <c r="I131" s="44">
        <f ca="1"/>
        <v>129</v>
      </c>
      <c r="J131" s="43">
        <f ca="1"/>
        <v>44470</v>
      </c>
      <c r="K131" s="39">
        <f ca="1"/>
        <v>77.770096614998607</v>
      </c>
      <c r="L131" s="27" t="str">
        <f ca="1"/>
        <v/>
      </c>
      <c r="M131" s="27" t="str">
        <f ca="1"/>
        <v/>
      </c>
      <c r="N131" s="46" t="str">
        <f ca="1"/>
        <v/>
      </c>
      <c r="O131" s="27">
        <f ca="1"/>
        <v>0</v>
      </c>
      <c r="P131" t="str">
        <f ca="1"/>
        <v/>
      </c>
      <c r="Q131" t="str">
        <f ca="1"/>
        <v/>
      </c>
      <c r="R131" t="str">
        <f ca="1"/>
        <v/>
      </c>
      <c r="S131" t="str">
        <f ca="1"/>
        <v/>
      </c>
      <c r="T131" t="str">
        <f ca="1"/>
        <v/>
      </c>
      <c r="U131" t="str">
        <f ca="1"/>
        <v/>
      </c>
      <c r="V131" t="str">
        <f ca="1"/>
        <v/>
      </c>
      <c r="W131" t="str">
        <f ca="1"/>
        <v/>
      </c>
      <c r="X131" t="str">
        <f ca="1"/>
        <v/>
      </c>
      <c r="Y131" t="str">
        <f ca="1"/>
        <v/>
      </c>
      <c r="Z131" t="str">
        <f ca="1"/>
        <v/>
      </c>
    </row>
    <row r="132" spans="1:26" x14ac:dyDescent="0.3">
      <c r="A132" s="11">
        <v>44501</v>
      </c>
      <c r="B132" s="12"/>
      <c r="C132" s="12">
        <v>1</v>
      </c>
      <c r="I132" s="44">
        <f ca="1"/>
        <v>130</v>
      </c>
      <c r="J132" s="43">
        <f ca="1"/>
        <v>44501</v>
      </c>
      <c r="K132" s="39">
        <f ca="1"/>
        <v>124.30383324381147</v>
      </c>
      <c r="L132" s="27" t="str">
        <f ca="1"/>
        <v/>
      </c>
      <c r="M132" s="27" t="str">
        <f ca="1"/>
        <v/>
      </c>
      <c r="N132" s="46" t="str">
        <f ca="1"/>
        <v/>
      </c>
      <c r="O132" s="27">
        <f ca="1"/>
        <v>1</v>
      </c>
      <c r="P132" t="str">
        <f ca="1"/>
        <v/>
      </c>
      <c r="Q132" t="str">
        <f ca="1"/>
        <v/>
      </c>
      <c r="R132" t="str">
        <f ca="1"/>
        <v/>
      </c>
      <c r="S132" t="str">
        <f ca="1"/>
        <v/>
      </c>
      <c r="T132" t="str">
        <f ca="1"/>
        <v/>
      </c>
      <c r="U132" t="str">
        <f ca="1"/>
        <v/>
      </c>
      <c r="V132" t="str">
        <f ca="1"/>
        <v/>
      </c>
      <c r="W132" t="str">
        <f ca="1"/>
        <v/>
      </c>
      <c r="X132" t="str">
        <f ca="1"/>
        <v/>
      </c>
      <c r="Y132" t="str">
        <f ca="1"/>
        <v/>
      </c>
      <c r="Z132" t="str">
        <f ca="1"/>
        <v/>
      </c>
    </row>
    <row r="133" spans="1:26" x14ac:dyDescent="0.3">
      <c r="A133" s="11">
        <v>44531</v>
      </c>
      <c r="B133" s="12"/>
      <c r="C133" s="12">
        <v>1</v>
      </c>
      <c r="I133" s="44">
        <f ca="1"/>
        <v>131</v>
      </c>
      <c r="J133" s="43">
        <f ca="1"/>
        <v>44531</v>
      </c>
      <c r="K133" s="39">
        <f ca="1"/>
        <v>134.33341827400548</v>
      </c>
      <c r="L133" s="27" t="str">
        <f ca="1"/>
        <v/>
      </c>
      <c r="M133" s="27" t="str">
        <f ca="1"/>
        <v/>
      </c>
      <c r="N133" s="46" t="str">
        <f ca="1"/>
        <v/>
      </c>
      <c r="O133" s="27">
        <f ca="1"/>
        <v>1</v>
      </c>
      <c r="P133" t="str">
        <f ca="1"/>
        <v/>
      </c>
      <c r="Q133" t="str">
        <f ca="1"/>
        <v/>
      </c>
      <c r="R133" t="str">
        <f ca="1"/>
        <v/>
      </c>
      <c r="S133" t="str">
        <f ca="1"/>
        <v/>
      </c>
      <c r="T133" t="str">
        <f ca="1"/>
        <v/>
      </c>
      <c r="U133" t="str">
        <f ca="1"/>
        <v/>
      </c>
      <c r="V133" t="str">
        <f ca="1"/>
        <v/>
      </c>
      <c r="W133" t="str">
        <f ca="1"/>
        <v/>
      </c>
      <c r="X133" t="str">
        <f ca="1"/>
        <v/>
      </c>
      <c r="Y133" t="str">
        <f ca="1"/>
        <v/>
      </c>
      <c r="Z133" t="str">
        <f ca="1"/>
        <v/>
      </c>
    </row>
    <row r="134" spans="1:26" x14ac:dyDescent="0.3">
      <c r="A134" s="11">
        <v>44562</v>
      </c>
      <c r="B134" s="12"/>
      <c r="C134" s="12">
        <v>0</v>
      </c>
      <c r="I134" s="44">
        <f ca="1"/>
        <v>132</v>
      </c>
      <c r="J134" s="43">
        <f ca="1"/>
        <v>44562</v>
      </c>
      <c r="K134" s="39">
        <f ca="1"/>
        <v>98.371254431485724</v>
      </c>
      <c r="L134" s="27" t="str">
        <f ca="1"/>
        <v/>
      </c>
      <c r="M134" s="27" t="str">
        <f ca="1"/>
        <v/>
      </c>
      <c r="N134" s="46" t="str">
        <f ca="1"/>
        <v/>
      </c>
      <c r="O134" s="27">
        <f ca="1"/>
        <v>0</v>
      </c>
      <c r="P134" t="str">
        <f ca="1"/>
        <v/>
      </c>
      <c r="Q134" t="str">
        <f ca="1"/>
        <v/>
      </c>
      <c r="R134" t="str">
        <f ca="1"/>
        <v/>
      </c>
      <c r="S134" t="str">
        <f ca="1"/>
        <v/>
      </c>
      <c r="T134" t="str">
        <f ca="1"/>
        <v/>
      </c>
      <c r="U134" t="str">
        <f ca="1"/>
        <v/>
      </c>
      <c r="V134" t="str">
        <f ca="1"/>
        <v/>
      </c>
      <c r="W134" t="str">
        <f ca="1"/>
        <v/>
      </c>
      <c r="X134" t="str">
        <f ca="1"/>
        <v/>
      </c>
      <c r="Y134" t="str">
        <f ca="1"/>
        <v/>
      </c>
      <c r="Z134" t="str">
        <f ca="1"/>
        <v/>
      </c>
    </row>
    <row r="135" spans="1:26" x14ac:dyDescent="0.3">
      <c r="A135" s="11">
        <v>44593</v>
      </c>
      <c r="B135" s="12"/>
      <c r="C135" s="12">
        <v>0</v>
      </c>
      <c r="I135" s="44">
        <f ca="1"/>
        <v>133</v>
      </c>
      <c r="J135" s="43">
        <f ca="1"/>
        <v>44593</v>
      </c>
      <c r="K135" s="39">
        <f ca="1"/>
        <v>92.641310101904409</v>
      </c>
      <c r="L135" s="27" t="str">
        <f ca="1"/>
        <v/>
      </c>
      <c r="M135" s="27" t="str">
        <f ca="1"/>
        <v/>
      </c>
      <c r="N135" s="46" t="str">
        <f ca="1"/>
        <v/>
      </c>
      <c r="O135" s="27">
        <f ca="1"/>
        <v>0</v>
      </c>
      <c r="P135" t="str">
        <f ca="1"/>
        <v/>
      </c>
      <c r="Q135" t="str">
        <f ca="1"/>
        <v/>
      </c>
      <c r="R135" t="str">
        <f ca="1"/>
        <v/>
      </c>
      <c r="S135" t="str">
        <f ca="1"/>
        <v/>
      </c>
      <c r="T135" t="str">
        <f ca="1"/>
        <v/>
      </c>
      <c r="U135" t="str">
        <f ca="1"/>
        <v/>
      </c>
      <c r="V135" t="str">
        <f ca="1"/>
        <v/>
      </c>
      <c r="W135" t="str">
        <f ca="1"/>
        <v/>
      </c>
      <c r="X135" t="str">
        <f ca="1"/>
        <v/>
      </c>
      <c r="Y135" t="str">
        <f ca="1"/>
        <v/>
      </c>
      <c r="Z135" t="str">
        <f ca="1"/>
        <v/>
      </c>
    </row>
    <row r="136" spans="1:26" x14ac:dyDescent="0.3">
      <c r="A136" s="11">
        <v>44621</v>
      </c>
      <c r="B136" s="12"/>
      <c r="C136" s="12">
        <v>0</v>
      </c>
      <c r="I136" s="44">
        <f ca="1"/>
        <v>134</v>
      </c>
      <c r="J136" s="43">
        <f ca="1"/>
        <v>44621</v>
      </c>
      <c r="K136" s="39">
        <f ca="1"/>
        <v>89.618700332794788</v>
      </c>
      <c r="L136" s="27" t="str">
        <f ca="1"/>
        <v/>
      </c>
      <c r="M136" s="27" t="str">
        <f ca="1"/>
        <v/>
      </c>
      <c r="N136" s="46" t="str">
        <f ca="1"/>
        <v/>
      </c>
      <c r="O136" s="27">
        <f ca="1"/>
        <v>0</v>
      </c>
      <c r="P136" t="str">
        <f ca="1"/>
        <v/>
      </c>
      <c r="Q136" t="str">
        <f ca="1"/>
        <v/>
      </c>
      <c r="R136" t="str">
        <f ca="1"/>
        <v/>
      </c>
      <c r="S136" t="str">
        <f ca="1"/>
        <v/>
      </c>
      <c r="T136" t="str">
        <f ca="1"/>
        <v/>
      </c>
      <c r="U136" t="str">
        <f ca="1"/>
        <v/>
      </c>
      <c r="V136" t="str">
        <f ca="1"/>
        <v/>
      </c>
      <c r="W136" t="str">
        <f ca="1"/>
        <v/>
      </c>
      <c r="X136" t="str">
        <f ca="1"/>
        <v/>
      </c>
      <c r="Y136" t="str">
        <f ca="1"/>
        <v/>
      </c>
      <c r="Z136" t="str">
        <f ca="1"/>
        <v/>
      </c>
    </row>
    <row r="137" spans="1:26" x14ac:dyDescent="0.3">
      <c r="A137" s="11">
        <v>44652</v>
      </c>
      <c r="B137" s="12"/>
      <c r="C137" s="12">
        <v>0</v>
      </c>
      <c r="I137" s="44">
        <f ca="1"/>
        <v>135</v>
      </c>
      <c r="J137" s="43">
        <f ca="1"/>
        <v>44652</v>
      </c>
      <c r="K137" s="39">
        <f ca="1"/>
        <v>86.614336430701528</v>
      </c>
      <c r="L137" s="27" t="str">
        <f ca="1"/>
        <v/>
      </c>
      <c r="M137" s="27" t="str">
        <f ca="1"/>
        <v/>
      </c>
      <c r="N137" s="46" t="str">
        <f ca="1"/>
        <v/>
      </c>
      <c r="O137" s="27">
        <f ca="1"/>
        <v>0</v>
      </c>
      <c r="P137" t="str">
        <f ca="1"/>
        <v/>
      </c>
      <c r="Q137" t="str">
        <f ca="1"/>
        <v/>
      </c>
      <c r="R137" t="str">
        <f ca="1"/>
        <v/>
      </c>
      <c r="S137" t="str">
        <f ca="1"/>
        <v/>
      </c>
      <c r="T137" t="str">
        <f ca="1"/>
        <v/>
      </c>
      <c r="U137" t="str">
        <f ca="1"/>
        <v/>
      </c>
      <c r="V137" t="str">
        <f ca="1"/>
        <v/>
      </c>
      <c r="W137" t="str">
        <f ca="1"/>
        <v/>
      </c>
      <c r="X137" t="str">
        <f ca="1"/>
        <v/>
      </c>
      <c r="Y137" t="str">
        <f ca="1"/>
        <v/>
      </c>
      <c r="Z137" t="str">
        <f ca="1"/>
        <v/>
      </c>
    </row>
    <row r="138" spans="1:26" x14ac:dyDescent="0.3">
      <c r="A138" s="11">
        <v>44682</v>
      </c>
      <c r="B138" s="12"/>
      <c r="C138" s="12">
        <v>0</v>
      </c>
      <c r="I138" s="44">
        <f ca="1"/>
        <v>136</v>
      </c>
      <c r="J138" s="43">
        <f ca="1"/>
        <v>44682</v>
      </c>
      <c r="K138" s="39">
        <f ca="1"/>
        <v>76.69953982985227</v>
      </c>
      <c r="L138" s="27" t="str">
        <f ca="1"/>
        <v/>
      </c>
      <c r="M138" s="27" t="str">
        <f ca="1"/>
        <v/>
      </c>
      <c r="N138" s="46" t="str">
        <f ca="1"/>
        <v/>
      </c>
      <c r="O138" s="27">
        <f ca="1"/>
        <v>0</v>
      </c>
      <c r="P138" t="str">
        <f ca="1"/>
        <v/>
      </c>
      <c r="Q138" t="str">
        <f ca="1"/>
        <v/>
      </c>
      <c r="R138" t="str">
        <f ca="1"/>
        <v/>
      </c>
      <c r="S138" t="str">
        <f ca="1"/>
        <v/>
      </c>
      <c r="T138" t="str">
        <f ca="1"/>
        <v/>
      </c>
      <c r="U138" t="str">
        <f ca="1"/>
        <v/>
      </c>
      <c r="V138" t="str">
        <f ca="1"/>
        <v/>
      </c>
      <c r="W138" t="str">
        <f ca="1"/>
        <v/>
      </c>
      <c r="X138" t="str">
        <f ca="1"/>
        <v/>
      </c>
      <c r="Y138" t="str">
        <f ca="1"/>
        <v/>
      </c>
      <c r="Z138" t="str">
        <f ca="1"/>
        <v/>
      </c>
    </row>
    <row r="139" spans="1:26" x14ac:dyDescent="0.3">
      <c r="A139" s="11">
        <v>44713</v>
      </c>
      <c r="B139" s="12"/>
      <c r="C139" s="12">
        <v>0</v>
      </c>
      <c r="I139" s="44">
        <f ca="1"/>
        <v>137</v>
      </c>
      <c r="J139" s="43">
        <f ca="1"/>
        <v>44713</v>
      </c>
      <c r="K139" s="39">
        <f ca="1"/>
        <v>66.957886593900838</v>
      </c>
      <c r="L139" s="27" t="str">
        <f ca="1"/>
        <v/>
      </c>
      <c r="M139" s="27" t="str">
        <f ca="1"/>
        <v/>
      </c>
      <c r="N139" s="46" t="str">
        <f ca="1"/>
        <v/>
      </c>
      <c r="O139" s="27">
        <f ca="1"/>
        <v>0</v>
      </c>
      <c r="P139" t="str">
        <f ca="1"/>
        <v/>
      </c>
      <c r="Q139" t="str">
        <f ca="1"/>
        <v/>
      </c>
      <c r="R139" t="str">
        <f ca="1"/>
        <v/>
      </c>
      <c r="S139" t="str">
        <f ca="1"/>
        <v/>
      </c>
      <c r="T139" t="str">
        <f ca="1"/>
        <v/>
      </c>
      <c r="U139" t="str">
        <f ca="1"/>
        <v/>
      </c>
      <c r="V139" t="str">
        <f ca="1"/>
        <v/>
      </c>
      <c r="W139" t="str">
        <f ca="1"/>
        <v/>
      </c>
      <c r="X139" t="str">
        <f ca="1"/>
        <v/>
      </c>
      <c r="Y139" t="str">
        <f ca="1"/>
        <v/>
      </c>
      <c r="Z139" t="str">
        <f ca="1"/>
        <v/>
      </c>
    </row>
    <row r="140" spans="1:26" x14ac:dyDescent="0.3">
      <c r="A140" s="11">
        <v>44743</v>
      </c>
      <c r="B140" s="12"/>
      <c r="C140" s="12">
        <v>0</v>
      </c>
      <c r="I140" s="44">
        <f ca="1"/>
        <v>138</v>
      </c>
      <c r="J140" s="43">
        <f ca="1"/>
        <v>44743</v>
      </c>
      <c r="K140" s="39">
        <f ca="1"/>
        <v>73.125962808757663</v>
      </c>
      <c r="L140" s="27" t="str">
        <f ca="1"/>
        <v/>
      </c>
      <c r="M140" s="27" t="str">
        <f ca="1"/>
        <v/>
      </c>
      <c r="N140" s="46" t="str">
        <f ca="1"/>
        <v/>
      </c>
      <c r="O140" s="27">
        <f ca="1"/>
        <v>0</v>
      </c>
      <c r="P140" t="str">
        <f ca="1"/>
        <v/>
      </c>
      <c r="Q140" t="str">
        <f ca="1"/>
        <v/>
      </c>
      <c r="R140" t="str">
        <f ca="1"/>
        <v/>
      </c>
      <c r="S140" t="str">
        <f ca="1"/>
        <v/>
      </c>
      <c r="T140" t="str">
        <f ca="1"/>
        <v/>
      </c>
      <c r="U140" t="str">
        <f ca="1"/>
        <v/>
      </c>
      <c r="V140" t="str">
        <f ca="1"/>
        <v/>
      </c>
      <c r="W140" t="str">
        <f ca="1"/>
        <v/>
      </c>
      <c r="X140" t="str">
        <f ca="1"/>
        <v/>
      </c>
      <c r="Y140" t="str">
        <f ca="1"/>
        <v/>
      </c>
      <c r="Z140" t="str">
        <f ca="1"/>
        <v/>
      </c>
    </row>
  </sheetData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6A948-FA44-4E1B-BFF5-6B7EA6760D86}">
  <sheetPr codeName="Sheet3"/>
  <dimension ref="B2:C4"/>
  <sheetViews>
    <sheetView workbookViewId="0">
      <selection activeCell="B3" sqref="B3"/>
    </sheetView>
  </sheetViews>
  <sheetFormatPr defaultRowHeight="15.6" x14ac:dyDescent="0.3"/>
  <sheetData>
    <row r="2" spans="2:3" x14ac:dyDescent="0.3">
      <c r="B2" s="4">
        <f ca="1">RANDBETWEEN(0,100)</f>
        <v>85</v>
      </c>
      <c r="C2" s="3" t="str">
        <f ca="1">_xlfn.FORMULATEXT(B2)</f>
        <v>=RANDBETWEEN(0,100)</v>
      </c>
    </row>
    <row r="3" spans="2:3" x14ac:dyDescent="0.3">
      <c r="B3" s="5" cm="1">
        <f t="array" aca="1" ref="B3" ca="1">py_cubed(B2)</f>
        <v>614125</v>
      </c>
      <c r="C3" s="3" t="str">
        <f ca="1">_xlfn.FORMULATEXT(B3)</f>
        <v>=py_cubed(B2)</v>
      </c>
    </row>
    <row r="4" spans="2:3" x14ac:dyDescent="0.3">
      <c r="B4" s="6">
        <f ca="1">POWER(B2,3)</f>
        <v>614125</v>
      </c>
      <c r="C4" s="3" t="str">
        <f ca="1">_xlfn.FORMULATEXT(B4)</f>
        <v>=POWER(B2,3)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12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14</v>
      </c>
    </row>
    <row r="16" spans="1:2" x14ac:dyDescent="0.3">
      <c r="A16" s="1" t="s">
        <v>6</v>
      </c>
    </row>
    <row r="17" spans="1:1" x14ac:dyDescent="0.3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h3ik0 Onnen</cp:lastModifiedBy>
  <dcterms:created xsi:type="dcterms:W3CDTF">2015-01-25T11:31:25Z</dcterms:created>
  <dcterms:modified xsi:type="dcterms:W3CDTF">2021-10-07T10:46:45Z</dcterms:modified>
  <cp:category/>
  <cp:contentStatus/>
</cp:coreProperties>
</file>